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Deepak mandal\Desktop\Professional invoice in Excel\"/>
    </mc:Choice>
  </mc:AlternateContent>
  <xr:revisionPtr revIDLastSave="0" documentId="13_ncr:1_{3A5BD87B-10C5-4252-A5F5-6277147801F6}" xr6:coauthVersionLast="47" xr6:coauthVersionMax="47" xr10:uidLastSave="{00000000-0000-0000-0000-000000000000}"/>
  <bookViews>
    <workbookView xWindow="-108" yWindow="-108" windowWidth="23256" windowHeight="12456" xr2:uid="{31F43298-0412-462C-81EA-3496A303C38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L28" i="1" l="1"/>
  <c r="L26" i="1"/>
  <c r="L25" i="1"/>
  <c r="L24" i="1"/>
  <c r="L16" i="1"/>
  <c r="L17" i="1"/>
  <c r="L18" i="1"/>
  <c r="L23" i="1" s="1"/>
  <c r="L19" i="1"/>
  <c r="L20" i="1"/>
  <c r="L21" i="1"/>
  <c r="L22" i="1"/>
  <c r="L15" i="1"/>
</calcChain>
</file>

<file path=xl/sharedStrings.xml><?xml version="1.0" encoding="utf-8"?>
<sst xmlns="http://schemas.openxmlformats.org/spreadsheetml/2006/main" count="45" uniqueCount="42">
  <si>
    <t>Company Name:</t>
  </si>
  <si>
    <t>Address:</t>
  </si>
  <si>
    <t>Phone:</t>
  </si>
  <si>
    <t>Email Pan/Vat:</t>
  </si>
  <si>
    <t>Invoice No:</t>
  </si>
  <si>
    <t>Invoice Date:</t>
  </si>
  <si>
    <t>Due Date</t>
  </si>
  <si>
    <t>Payment:</t>
  </si>
  <si>
    <t>INVOICE DETAILS</t>
  </si>
  <si>
    <t>Seller / Company Details</t>
  </si>
  <si>
    <t>INVOICE/ BILL</t>
  </si>
  <si>
    <t>BILL TO/ CUSTOMER DETAILS</t>
  </si>
  <si>
    <t>Customer Name:</t>
  </si>
  <si>
    <t>Address</t>
  </si>
  <si>
    <t>Phone</t>
  </si>
  <si>
    <t>Email/Pan/Vat</t>
  </si>
  <si>
    <t>Item Details</t>
  </si>
  <si>
    <t>S.No</t>
  </si>
  <si>
    <t>Item Description</t>
  </si>
  <si>
    <t>Qty</t>
  </si>
  <si>
    <t>Unit</t>
  </si>
  <si>
    <t>Rate</t>
  </si>
  <si>
    <t>printer</t>
  </si>
  <si>
    <t>table</t>
  </si>
  <si>
    <t>Grand Total</t>
  </si>
  <si>
    <t>Tax(2%)</t>
  </si>
  <si>
    <t>Amount</t>
  </si>
  <si>
    <t>Computer</t>
  </si>
  <si>
    <t>Paid</t>
  </si>
  <si>
    <t>psc</t>
  </si>
  <si>
    <t>SubTotal</t>
  </si>
  <si>
    <t>Discount(4%)</t>
  </si>
  <si>
    <t>keyboard</t>
  </si>
  <si>
    <t>Payment</t>
  </si>
  <si>
    <t>Balance</t>
  </si>
  <si>
    <t>Excel Career Skills</t>
  </si>
  <si>
    <t>Mumbai</t>
  </si>
  <si>
    <t>Excel@learn.com</t>
  </si>
  <si>
    <t>N2011</t>
  </si>
  <si>
    <t>Kundan sahani</t>
  </si>
  <si>
    <t>Pune</t>
  </si>
  <si>
    <t>Kund@pun.com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</si>
</sst>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5" formatCode="[$INR]\ #,##0.00;\-[$INR]\ #,##0.00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theme="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0" applyFon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left"/>
    </xf>
    <xf numFmtId="0" fontId="3" fillId="5" borderId="5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0" borderId="1" xfId="0" applyFont="1" applyBorder="1"/>
    <xf numFmtId="0" fontId="0" fillId="0" borderId="1" xfId="0" applyBorder="1"/>
    <xf numFmtId="0" fontId="3" fillId="3" borderId="1" xfId="0" applyFont="1" applyFill="1" applyBorder="1"/>
    <xf numFmtId="165" fontId="0" fillId="0" borderId="1" xfId="1" applyNumberFormat="1" applyFont="1" applyBorder="1"/>
    <xf numFmtId="165" fontId="0" fillId="7" borderId="1" xfId="1" applyNumberFormat="1" applyFon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165" fontId="0" fillId="7" borderId="1" xfId="0" applyNumberFormat="1" applyFill="1" applyBorder="1"/>
    <xf numFmtId="0" fontId="3" fillId="0" borderId="1" xfId="0" applyFont="1" applyFill="1" applyBorder="1"/>
    <xf numFmtId="165" fontId="0" fillId="3" borderId="1" xfId="1" applyNumberFormat="1" applyFont="1" applyFill="1" applyBorder="1"/>
    <xf numFmtId="0" fontId="5" fillId="0" borderId="1" xfId="0" applyFont="1" applyBorder="1" applyAlignment="1">
      <alignment horizontal="center" vertical="center"/>
    </xf>
    <xf numFmtId="0" fontId="7" fillId="3" borderId="1" xfId="2" applyFill="1" applyBorder="1" applyAlignment="1">
      <alignment horizontal="left"/>
    </xf>
    <xf numFmtId="14" fontId="0" fillId="3" borderId="1" xfId="0" applyNumberFormat="1" applyFill="1" applyBorder="1" applyAlignment="1">
      <alignment horizontal="left"/>
    </xf>
    <xf numFmtId="0" fontId="0" fillId="6" borderId="1" xfId="0" applyFill="1" applyBorder="1" applyAlignment="1">
      <alignment horizontal="left"/>
    </xf>
    <xf numFmtId="0" fontId="7" fillId="6" borderId="1" xfId="2" applyFill="1" applyBorder="1" applyAlignment="1">
      <alignment horizontal="left"/>
    </xf>
    <xf numFmtId="0" fontId="5" fillId="3" borderId="8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Border="1"/>
    <xf numFmtId="0" fontId="2" fillId="4" borderId="10" xfId="0" applyFont="1" applyFill="1" applyBorder="1" applyAlignment="1">
      <alignment horizontal="center" vertical="center"/>
    </xf>
    <xf numFmtId="0" fontId="0" fillId="0" borderId="2" xfId="0" applyBorder="1"/>
    <xf numFmtId="0" fontId="0" fillId="0" borderId="10" xfId="0" applyBorder="1"/>
    <xf numFmtId="0" fontId="6" fillId="4" borderId="2" xfId="0" applyFont="1" applyFill="1" applyBorder="1" applyAlignment="1">
      <alignment horizontal="left" vertical="center"/>
    </xf>
    <xf numFmtId="0" fontId="6" fillId="4" borderId="0" xfId="0" applyFont="1" applyFill="1" applyBorder="1" applyAlignment="1">
      <alignment horizontal="left" vertical="center"/>
    </xf>
    <xf numFmtId="0" fontId="6" fillId="4" borderId="10" xfId="0" applyFont="1" applyFill="1" applyBorder="1" applyAlignment="1">
      <alignment horizontal="left" vertical="center"/>
    </xf>
    <xf numFmtId="0" fontId="0" fillId="0" borderId="11" xfId="0" applyBorder="1"/>
    <xf numFmtId="0" fontId="0" fillId="0" borderId="3" xfId="0" applyBorder="1"/>
    <xf numFmtId="165" fontId="8" fillId="8" borderId="1" xfId="0" applyNumberFormat="1" applyFont="1" applyFill="1" applyBorder="1" applyAlignment="1">
      <alignment horizontal="center" vertical="center"/>
    </xf>
    <xf numFmtId="165" fontId="4" fillId="9" borderId="1" xfId="0" applyNumberFormat="1" applyFont="1" applyFill="1" applyBorder="1"/>
    <xf numFmtId="165" fontId="4" fillId="10" borderId="1" xfId="0" applyNumberFormat="1" applyFont="1" applyFill="1" applyBorder="1"/>
    <xf numFmtId="0" fontId="0" fillId="0" borderId="8" xfId="0" applyBorder="1"/>
    <xf numFmtId="0" fontId="0" fillId="0" borderId="4" xfId="0" applyBorder="1"/>
    <xf numFmtId="0" fontId="0" fillId="0" borderId="9" xfId="0" applyBorder="1"/>
    <xf numFmtId="0" fontId="0" fillId="0" borderId="12" xfId="0" applyBorder="1"/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Kund@pun.com" TargetMode="External"/><Relationship Id="rId1" Type="http://schemas.openxmlformats.org/officeDocument/2006/relationships/hyperlink" Target="mailto:Excel@learn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EEEEE-2B72-4943-8813-55C4949B28B2}">
  <dimension ref="A1:L33"/>
  <sheetViews>
    <sheetView showGridLines="0" tabSelected="1" workbookViewId="0">
      <selection activeCell="D7" sqref="D1:D1048576"/>
    </sheetView>
  </sheetViews>
  <sheetFormatPr defaultRowHeight="14.4" x14ac:dyDescent="0.3"/>
  <cols>
    <col min="10" max="10" width="13.33203125" customWidth="1"/>
    <col min="11" max="11" width="13.21875" customWidth="1"/>
    <col min="12" max="12" width="18" customWidth="1"/>
  </cols>
  <sheetData>
    <row r="1" spans="1:12" ht="21" customHeight="1" x14ac:dyDescent="0.3">
      <c r="A1" s="26" t="s">
        <v>10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8"/>
    </row>
    <row r="2" spans="1:12" x14ac:dyDescent="0.3">
      <c r="A2" s="29" t="s">
        <v>9</v>
      </c>
      <c r="B2" s="30"/>
      <c r="C2" s="30"/>
      <c r="D2" s="30"/>
      <c r="E2" s="30"/>
      <c r="F2" s="31"/>
      <c r="G2" s="30" t="s">
        <v>8</v>
      </c>
      <c r="H2" s="30"/>
      <c r="I2" s="30"/>
      <c r="J2" s="30"/>
      <c r="K2" s="30"/>
      <c r="L2" s="32"/>
    </row>
    <row r="3" spans="1:12" x14ac:dyDescent="0.3">
      <c r="A3" s="1" t="s">
        <v>0</v>
      </c>
      <c r="B3" s="1"/>
      <c r="C3" s="2" t="s">
        <v>35</v>
      </c>
      <c r="D3" s="2"/>
      <c r="E3" s="2"/>
      <c r="F3" s="31"/>
      <c r="G3" s="1" t="s">
        <v>4</v>
      </c>
      <c r="H3" s="1"/>
      <c r="I3" s="2" t="s">
        <v>38</v>
      </c>
      <c r="J3" s="2"/>
      <c r="K3" s="2"/>
      <c r="L3" s="2"/>
    </row>
    <row r="4" spans="1:12" x14ac:dyDescent="0.3">
      <c r="A4" s="1" t="s">
        <v>1</v>
      </c>
      <c r="B4" s="1"/>
      <c r="C4" s="2" t="s">
        <v>36</v>
      </c>
      <c r="D4" s="2"/>
      <c r="E4" s="2"/>
      <c r="F4" s="31"/>
      <c r="G4" s="1" t="s">
        <v>5</v>
      </c>
      <c r="H4" s="1"/>
      <c r="I4" s="23">
        <v>46032</v>
      </c>
      <c r="J4" s="2"/>
      <c r="K4" s="2"/>
      <c r="L4" s="2"/>
    </row>
    <row r="5" spans="1:12" x14ac:dyDescent="0.3">
      <c r="A5" s="1" t="s">
        <v>2</v>
      </c>
      <c r="B5" s="1"/>
      <c r="C5" s="2">
        <v>8909878765</v>
      </c>
      <c r="D5" s="2"/>
      <c r="E5" s="2"/>
      <c r="F5" s="31"/>
      <c r="G5" s="1" t="s">
        <v>6</v>
      </c>
      <c r="H5" s="1"/>
      <c r="I5" s="23">
        <v>46033</v>
      </c>
      <c r="J5" s="2"/>
      <c r="K5" s="2"/>
      <c r="L5" s="2"/>
    </row>
    <row r="6" spans="1:12" x14ac:dyDescent="0.3">
      <c r="A6" s="1" t="s">
        <v>3</v>
      </c>
      <c r="B6" s="1"/>
      <c r="C6" s="22" t="s">
        <v>37</v>
      </c>
      <c r="D6" s="2"/>
      <c r="E6" s="2"/>
      <c r="F6" s="31"/>
      <c r="G6" s="1" t="s">
        <v>7</v>
      </c>
      <c r="H6" s="1"/>
      <c r="I6" s="2" t="s">
        <v>28</v>
      </c>
      <c r="J6" s="2"/>
      <c r="K6" s="2"/>
      <c r="L6" s="2"/>
    </row>
    <row r="7" spans="1:12" x14ac:dyDescent="0.3">
      <c r="A7" s="33"/>
      <c r="B7" s="31"/>
      <c r="C7" s="31"/>
      <c r="D7" s="31"/>
      <c r="E7" s="31"/>
      <c r="F7" s="31"/>
      <c r="G7" s="31"/>
      <c r="H7" s="31"/>
      <c r="I7" s="31"/>
      <c r="J7" s="31"/>
      <c r="K7" s="31"/>
      <c r="L7" s="34"/>
    </row>
    <row r="8" spans="1:12" x14ac:dyDescent="0.3">
      <c r="A8" s="35" t="s">
        <v>11</v>
      </c>
      <c r="B8" s="36"/>
      <c r="C8" s="36"/>
      <c r="D8" s="36"/>
      <c r="E8" s="36"/>
      <c r="F8" s="36"/>
      <c r="G8" s="36"/>
      <c r="H8" s="36"/>
      <c r="I8" s="36"/>
      <c r="J8" s="36"/>
      <c r="K8" s="36"/>
      <c r="L8" s="37"/>
    </row>
    <row r="9" spans="1:12" x14ac:dyDescent="0.3">
      <c r="A9" s="4" t="s">
        <v>12</v>
      </c>
      <c r="B9" s="4"/>
      <c r="C9" s="24" t="s">
        <v>39</v>
      </c>
      <c r="D9" s="24"/>
      <c r="E9" s="24"/>
      <c r="F9" s="24"/>
      <c r="G9" s="24"/>
      <c r="H9" s="24"/>
      <c r="I9" s="24"/>
      <c r="J9" s="24"/>
      <c r="K9" s="24"/>
      <c r="L9" s="24"/>
    </row>
    <row r="10" spans="1:12" x14ac:dyDescent="0.3">
      <c r="A10" s="4" t="s">
        <v>13</v>
      </c>
      <c r="B10" s="4"/>
      <c r="C10" s="24" t="s">
        <v>40</v>
      </c>
      <c r="D10" s="24"/>
      <c r="E10" s="24"/>
      <c r="F10" s="24"/>
      <c r="G10" s="24"/>
      <c r="H10" s="24"/>
      <c r="I10" s="24"/>
      <c r="J10" s="24"/>
      <c r="K10" s="24"/>
      <c r="L10" s="24"/>
    </row>
    <row r="11" spans="1:12" x14ac:dyDescent="0.3">
      <c r="A11" s="4" t="s">
        <v>14</v>
      </c>
      <c r="B11" s="4"/>
      <c r="C11" s="24">
        <v>8787656545</v>
      </c>
      <c r="D11" s="24"/>
      <c r="E11" s="24"/>
      <c r="F11" s="24"/>
      <c r="G11" s="24"/>
      <c r="H11" s="24"/>
      <c r="I11" s="24"/>
      <c r="J11" s="24"/>
      <c r="K11" s="24"/>
      <c r="L11" s="24"/>
    </row>
    <row r="12" spans="1:12" x14ac:dyDescent="0.3">
      <c r="A12" s="4" t="s">
        <v>15</v>
      </c>
      <c r="B12" s="4"/>
      <c r="C12" s="25" t="s">
        <v>41</v>
      </c>
      <c r="D12" s="24"/>
      <c r="E12" s="24"/>
      <c r="F12" s="24"/>
      <c r="G12" s="24"/>
      <c r="H12" s="24"/>
      <c r="I12" s="24"/>
      <c r="J12" s="24"/>
      <c r="K12" s="24"/>
      <c r="L12" s="24"/>
    </row>
    <row r="13" spans="1:12" x14ac:dyDescent="0.3">
      <c r="A13" s="5" t="s">
        <v>16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7"/>
    </row>
    <row r="14" spans="1:12" x14ac:dyDescent="0.3">
      <c r="A14" s="13" t="s">
        <v>17</v>
      </c>
      <c r="B14" s="14" t="s">
        <v>18</v>
      </c>
      <c r="C14" s="14"/>
      <c r="D14" s="14"/>
      <c r="E14" s="14"/>
      <c r="F14" s="14"/>
      <c r="G14" s="14" t="s">
        <v>19</v>
      </c>
      <c r="H14" s="14"/>
      <c r="I14" s="14" t="s">
        <v>20</v>
      </c>
      <c r="J14" s="14"/>
      <c r="K14" s="13" t="s">
        <v>21</v>
      </c>
      <c r="L14" s="13" t="s">
        <v>26</v>
      </c>
    </row>
    <row r="15" spans="1:12" x14ac:dyDescent="0.3">
      <c r="A15" s="9">
        <v>1</v>
      </c>
      <c r="B15" s="3" t="s">
        <v>27</v>
      </c>
      <c r="C15" s="3"/>
      <c r="D15" s="3"/>
      <c r="E15" s="3"/>
      <c r="F15" s="3"/>
      <c r="G15" s="3">
        <v>2</v>
      </c>
      <c r="H15" s="3"/>
      <c r="I15" s="3" t="s">
        <v>29</v>
      </c>
      <c r="J15" s="3"/>
      <c r="K15" s="11">
        <v>20000</v>
      </c>
      <c r="L15" s="11">
        <f>SUM(G15*K15)</f>
        <v>40000</v>
      </c>
    </row>
    <row r="16" spans="1:12" x14ac:dyDescent="0.3">
      <c r="A16" s="9">
        <v>2</v>
      </c>
      <c r="B16" s="3" t="s">
        <v>22</v>
      </c>
      <c r="C16" s="3"/>
      <c r="D16" s="3"/>
      <c r="E16" s="3"/>
      <c r="F16" s="3"/>
      <c r="G16" s="3">
        <v>1</v>
      </c>
      <c r="H16" s="3"/>
      <c r="I16" s="3" t="s">
        <v>29</v>
      </c>
      <c r="J16" s="3"/>
      <c r="K16" s="11">
        <v>13000</v>
      </c>
      <c r="L16" s="11">
        <f t="shared" ref="L16:L22" si="0">SUM(G16*K16)</f>
        <v>13000</v>
      </c>
    </row>
    <row r="17" spans="1:12" x14ac:dyDescent="0.3">
      <c r="A17" s="9">
        <v>3</v>
      </c>
      <c r="B17" s="3" t="s">
        <v>23</v>
      </c>
      <c r="C17" s="3"/>
      <c r="D17" s="3"/>
      <c r="E17" s="3"/>
      <c r="F17" s="3"/>
      <c r="G17" s="3">
        <v>3</v>
      </c>
      <c r="H17" s="3"/>
      <c r="I17" s="3" t="s">
        <v>29</v>
      </c>
      <c r="J17" s="3"/>
      <c r="K17" s="11">
        <v>11000</v>
      </c>
      <c r="L17" s="11">
        <f t="shared" si="0"/>
        <v>33000</v>
      </c>
    </row>
    <row r="18" spans="1:12" x14ac:dyDescent="0.3">
      <c r="A18" s="9">
        <v>4</v>
      </c>
      <c r="B18" s="3" t="s">
        <v>32</v>
      </c>
      <c r="C18" s="3"/>
      <c r="D18" s="3"/>
      <c r="E18" s="3"/>
      <c r="F18" s="3"/>
      <c r="G18" s="3">
        <v>5</v>
      </c>
      <c r="H18" s="3"/>
      <c r="I18" s="3" t="s">
        <v>29</v>
      </c>
      <c r="J18" s="3"/>
      <c r="K18" s="11">
        <v>250</v>
      </c>
      <c r="L18" s="11">
        <f t="shared" si="0"/>
        <v>1250</v>
      </c>
    </row>
    <row r="19" spans="1:12" x14ac:dyDescent="0.3">
      <c r="A19" s="9">
        <v>5</v>
      </c>
      <c r="B19" s="15"/>
      <c r="C19" s="17"/>
      <c r="D19" s="17"/>
      <c r="E19" s="17"/>
      <c r="F19" s="16"/>
      <c r="G19" s="15"/>
      <c r="H19" s="16"/>
      <c r="I19" s="15"/>
      <c r="J19" s="16"/>
      <c r="K19" s="11"/>
      <c r="L19" s="11">
        <f t="shared" si="0"/>
        <v>0</v>
      </c>
    </row>
    <row r="20" spans="1:12" x14ac:dyDescent="0.3">
      <c r="A20" s="9">
        <v>6</v>
      </c>
      <c r="B20" s="15"/>
      <c r="C20" s="17"/>
      <c r="D20" s="17"/>
      <c r="E20" s="17"/>
      <c r="F20" s="16"/>
      <c r="G20" s="15"/>
      <c r="H20" s="16"/>
      <c r="I20" s="15"/>
      <c r="J20" s="16"/>
      <c r="K20" s="11"/>
      <c r="L20" s="11">
        <f t="shared" si="0"/>
        <v>0</v>
      </c>
    </row>
    <row r="21" spans="1:12" x14ac:dyDescent="0.3">
      <c r="A21" s="9">
        <v>7</v>
      </c>
      <c r="B21" s="15"/>
      <c r="C21" s="17"/>
      <c r="D21" s="17"/>
      <c r="E21" s="17"/>
      <c r="F21" s="16"/>
      <c r="G21" s="15"/>
      <c r="H21" s="16"/>
      <c r="I21" s="15"/>
      <c r="J21" s="16"/>
      <c r="K21" s="11"/>
      <c r="L21" s="11">
        <f t="shared" si="0"/>
        <v>0</v>
      </c>
    </row>
    <row r="22" spans="1:12" x14ac:dyDescent="0.3">
      <c r="A22" s="9">
        <v>8</v>
      </c>
      <c r="B22" s="15"/>
      <c r="C22" s="17"/>
      <c r="D22" s="17"/>
      <c r="E22" s="17"/>
      <c r="F22" s="16"/>
      <c r="G22" s="15"/>
      <c r="H22" s="16"/>
      <c r="I22" s="15"/>
      <c r="J22" s="16"/>
      <c r="K22" s="11"/>
      <c r="L22" s="11">
        <f t="shared" si="0"/>
        <v>0</v>
      </c>
    </row>
    <row r="23" spans="1:12" ht="33.6" customHeight="1" x14ac:dyDescent="0.3">
      <c r="A23" s="33"/>
      <c r="B23" s="31"/>
      <c r="C23" s="31"/>
      <c r="D23" s="31"/>
      <c r="E23" s="31"/>
      <c r="F23" s="31"/>
      <c r="G23" s="31"/>
      <c r="H23" s="31"/>
      <c r="I23" s="31"/>
      <c r="J23" s="31"/>
      <c r="K23" s="21" t="s">
        <v>30</v>
      </c>
      <c r="L23" s="40">
        <f>SUM(L15:L22)</f>
        <v>87250</v>
      </c>
    </row>
    <row r="24" spans="1:12" x14ac:dyDescent="0.3">
      <c r="A24" s="33"/>
      <c r="B24" s="31"/>
      <c r="C24" s="31"/>
      <c r="D24" s="31"/>
      <c r="E24" s="31"/>
      <c r="F24" s="31"/>
      <c r="G24" s="31"/>
      <c r="H24" s="31"/>
      <c r="I24" s="31"/>
      <c r="J24" s="31"/>
      <c r="K24" s="8" t="s">
        <v>31</v>
      </c>
      <c r="L24" s="41">
        <f>L23*(1-4%)</f>
        <v>83760</v>
      </c>
    </row>
    <row r="25" spans="1:12" x14ac:dyDescent="0.3">
      <c r="A25" s="33"/>
      <c r="B25" s="31"/>
      <c r="C25" s="31"/>
      <c r="D25" s="31"/>
      <c r="E25" s="31"/>
      <c r="F25" s="31"/>
      <c r="G25" s="31"/>
      <c r="H25" s="31"/>
      <c r="I25" s="31"/>
      <c r="J25" s="31"/>
      <c r="K25" s="8" t="s">
        <v>25</v>
      </c>
      <c r="L25" s="18">
        <f>L24*(1+2%)</f>
        <v>85435.199999999997</v>
      </c>
    </row>
    <row r="26" spans="1:12" x14ac:dyDescent="0.3">
      <c r="A26" s="33"/>
      <c r="B26" s="31"/>
      <c r="C26" s="31"/>
      <c r="D26" s="31"/>
      <c r="E26" s="31"/>
      <c r="F26" s="31"/>
      <c r="G26" s="31"/>
      <c r="H26" s="31"/>
      <c r="I26" s="31"/>
      <c r="J26" s="31"/>
      <c r="K26" s="8" t="s">
        <v>24</v>
      </c>
      <c r="L26" s="42">
        <f>L25</f>
        <v>85435.199999999997</v>
      </c>
    </row>
    <row r="27" spans="1:12" x14ac:dyDescent="0.3">
      <c r="A27" s="33"/>
      <c r="B27" s="31"/>
      <c r="C27" s="31"/>
      <c r="D27" s="31"/>
      <c r="E27" s="31"/>
      <c r="F27" s="31"/>
      <c r="G27" s="31"/>
      <c r="H27" s="31"/>
      <c r="I27" s="31"/>
      <c r="J27" s="31"/>
      <c r="K27" s="19" t="s">
        <v>33</v>
      </c>
      <c r="L27" s="12">
        <v>90000</v>
      </c>
    </row>
    <row r="28" spans="1:12" x14ac:dyDescent="0.3">
      <c r="A28" s="38"/>
      <c r="B28" s="39"/>
      <c r="C28" s="39"/>
      <c r="D28" s="39"/>
      <c r="E28" s="39"/>
      <c r="F28" s="39"/>
      <c r="G28" s="39"/>
      <c r="H28" s="39"/>
      <c r="I28" s="39"/>
      <c r="J28" s="39"/>
      <c r="K28" s="10" t="s">
        <v>34</v>
      </c>
      <c r="L28" s="20">
        <f>SUM(L27-L26)</f>
        <v>4564.8000000000029</v>
      </c>
    </row>
    <row r="29" spans="1:12" x14ac:dyDescent="0.3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5"/>
    </row>
    <row r="30" spans="1:12" x14ac:dyDescent="0.3">
      <c r="A30" s="33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4"/>
    </row>
    <row r="31" spans="1:12" x14ac:dyDescent="0.3">
      <c r="A31" s="33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4"/>
    </row>
    <row r="32" spans="1:12" x14ac:dyDescent="0.3">
      <c r="A32" s="33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4"/>
    </row>
    <row r="33" spans="1:12" x14ac:dyDescent="0.3">
      <c r="A33" s="38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46"/>
    </row>
  </sheetData>
  <mergeCells count="56">
    <mergeCell ref="B22:F22"/>
    <mergeCell ref="B21:F21"/>
    <mergeCell ref="B20:F20"/>
    <mergeCell ref="B19:F19"/>
    <mergeCell ref="C11:L11"/>
    <mergeCell ref="I22:J22"/>
    <mergeCell ref="I21:J21"/>
    <mergeCell ref="I20:J20"/>
    <mergeCell ref="I19:J19"/>
    <mergeCell ref="G22:H22"/>
    <mergeCell ref="G21:H21"/>
    <mergeCell ref="G20:H20"/>
    <mergeCell ref="G19:H19"/>
    <mergeCell ref="B14:F14"/>
    <mergeCell ref="G14:H14"/>
    <mergeCell ref="I14:J14"/>
    <mergeCell ref="G18:H18"/>
    <mergeCell ref="G17:H17"/>
    <mergeCell ref="G16:H16"/>
    <mergeCell ref="G15:H15"/>
    <mergeCell ref="I18:J18"/>
    <mergeCell ref="I17:J17"/>
    <mergeCell ref="I16:J16"/>
    <mergeCell ref="B18:F18"/>
    <mergeCell ref="B17:F17"/>
    <mergeCell ref="B16:F16"/>
    <mergeCell ref="B15:F15"/>
    <mergeCell ref="I15:J15"/>
    <mergeCell ref="C9:L9"/>
    <mergeCell ref="A13:L13"/>
    <mergeCell ref="G2:L2"/>
    <mergeCell ref="A1:L1"/>
    <mergeCell ref="A8:L8"/>
    <mergeCell ref="A12:B12"/>
    <mergeCell ref="A11:B11"/>
    <mergeCell ref="A10:B10"/>
    <mergeCell ref="A9:B9"/>
    <mergeCell ref="C12:L12"/>
    <mergeCell ref="C10:L10"/>
    <mergeCell ref="G6:H6"/>
    <mergeCell ref="G5:H5"/>
    <mergeCell ref="G4:H4"/>
    <mergeCell ref="G3:H3"/>
    <mergeCell ref="I6:L6"/>
    <mergeCell ref="I5:L5"/>
    <mergeCell ref="I4:L4"/>
    <mergeCell ref="I3:L3"/>
    <mergeCell ref="A6:B6"/>
    <mergeCell ref="A5:B5"/>
    <mergeCell ref="A3:B3"/>
    <mergeCell ref="A4:B4"/>
    <mergeCell ref="C6:E6"/>
    <mergeCell ref="C5:E5"/>
    <mergeCell ref="C4:E4"/>
    <mergeCell ref="C3:E3"/>
    <mergeCell ref="A2:E2"/>
  </mergeCells>
  <dataValidations count="2">
    <dataValidation type="list" allowBlank="1" showInputMessage="1" showErrorMessage="1" sqref="I6:L6" xr:uid="{0006033F-B023-40C6-A44F-15B111297951}">
      <formula1>"Paid,Unpaid,Pending,Other"</formula1>
    </dataValidation>
    <dataValidation type="list" allowBlank="1" showInputMessage="1" showErrorMessage="1" sqref="I15:J22" xr:uid="{C675CC83-0A09-4F5A-AD93-239EAF2AE393}">
      <formula1>"psc,kg,liters,other"</formula1>
    </dataValidation>
  </dataValidations>
  <hyperlinks>
    <hyperlink ref="C6" r:id="rId1" xr:uid="{10CAA8F7-D324-4F54-9848-E5461D25CAAA}"/>
    <hyperlink ref="C12" r:id="rId2" xr:uid="{FFEFC816-4067-4FF8-A91F-68A293DFE5FC}"/>
  </hyperlinks>
  <pageMargins left="0.7" right="0.7" top="0.75" bottom="0.75" header="0.3" footer="0.3"/>
  <pageSetup paperSize="9" orientation="portrait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 mandal</dc:creator>
  <cp:lastModifiedBy>deepak mandal</cp:lastModifiedBy>
  <dcterms:created xsi:type="dcterms:W3CDTF">2026-09-07T05:46:27Z</dcterms:created>
  <dcterms:modified xsi:type="dcterms:W3CDTF">2026-09-07T07:27:38Z</dcterms:modified>
</cp:coreProperties>
</file>