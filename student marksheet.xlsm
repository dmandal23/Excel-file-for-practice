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eepak mandal\Desktop\Student marksheet file video\File\"/>
    </mc:Choice>
  </mc:AlternateContent>
  <xr:revisionPtr revIDLastSave="0" documentId="8_{FE18435B-5CE2-4872-8B47-40EFA3668CD8}" xr6:coauthVersionLast="47" xr6:coauthVersionMax="47" xr10:uidLastSave="{00000000-0000-0000-0000-000000000000}"/>
  <bookViews>
    <workbookView xWindow="-108" yWindow="-108" windowWidth="23256" windowHeight="12456" xr2:uid="{E685F3F3-5FF9-43FF-8735-346C0CD9A93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8" i="1" l="1"/>
  <c r="K11" i="1"/>
  <c r="H7" i="1"/>
  <c r="J7" i="1" s="1"/>
  <c r="H9" i="1"/>
  <c r="J9" i="1" s="1"/>
  <c r="H10" i="1"/>
  <c r="K10" i="1" s="1"/>
  <c r="G6" i="1"/>
  <c r="H6" i="1" s="1"/>
  <c r="J6" i="1" s="1"/>
  <c r="G7" i="1"/>
  <c r="G8" i="1"/>
  <c r="H8" i="1" s="1"/>
  <c r="J8" i="1" s="1"/>
  <c r="G9" i="1"/>
  <c r="G10" i="1"/>
  <c r="G11" i="1"/>
  <c r="H11" i="1" s="1"/>
  <c r="J11" i="1" s="1"/>
  <c r="G12" i="1"/>
  <c r="H12" i="1" s="1"/>
  <c r="K12" i="1" s="1"/>
  <c r="G13" i="1"/>
  <c r="H13" i="1" s="1"/>
  <c r="G14" i="1"/>
  <c r="H14" i="1" s="1"/>
  <c r="J14" i="1" s="1"/>
  <c r="G5" i="1"/>
  <c r="H5" i="1" s="1"/>
  <c r="J5" i="1" s="1"/>
  <c r="K13" i="1" l="1"/>
  <c r="J13" i="1"/>
  <c r="J12" i="1"/>
  <c r="J10" i="1"/>
  <c r="K5" i="1"/>
  <c r="K7" i="1"/>
  <c r="K9" i="1"/>
  <c r="K14" i="1"/>
  <c r="K6" i="1"/>
  <c r="I7" i="1"/>
  <c r="I11" i="1"/>
  <c r="I12" i="1"/>
  <c r="I5" i="1"/>
  <c r="I13" i="1"/>
  <c r="I6" i="1"/>
  <c r="I14" i="1"/>
  <c r="I8" i="1"/>
  <c r="I9" i="1"/>
  <c r="I10" i="1"/>
</calcChain>
</file>

<file path=xl/sharedStrings.xml><?xml version="1.0" encoding="utf-8"?>
<sst xmlns="http://schemas.openxmlformats.org/spreadsheetml/2006/main" count="23" uniqueCount="23">
  <si>
    <t>S.N</t>
  </si>
  <si>
    <t>Name</t>
  </si>
  <si>
    <t>Math</t>
  </si>
  <si>
    <t>English</t>
  </si>
  <si>
    <t>Science</t>
  </si>
  <si>
    <t>Total</t>
  </si>
  <si>
    <t>Percentage</t>
  </si>
  <si>
    <t>Position</t>
  </si>
  <si>
    <t>Grading</t>
  </si>
  <si>
    <t>Class</t>
  </si>
  <si>
    <t>Pass/Fail</t>
  </si>
  <si>
    <t>amit</t>
  </si>
  <si>
    <t>narayan</t>
  </si>
  <si>
    <t>kamlesh</t>
  </si>
  <si>
    <t>amisha</t>
  </si>
  <si>
    <t>nandu</t>
  </si>
  <si>
    <t>deepak</t>
  </si>
  <si>
    <t>naveen</t>
  </si>
  <si>
    <t>deepti</t>
  </si>
  <si>
    <t>kanya</t>
  </si>
  <si>
    <t>aysha</t>
  </si>
  <si>
    <t>Total Marks</t>
  </si>
  <si>
    <t>Student Marksheet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</si>
</sst>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/>
    <xf numFmtId="1" fontId="0" fillId="0" borderId="1" xfId="0" applyNumberForma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0A910-17F2-4028-8A55-94614DEFFB49}">
  <dimension ref="A1:K14"/>
  <sheetViews>
    <sheetView tabSelected="1" workbookViewId="0">
      <selection activeCell="G17" sqref="G17"/>
    </sheetView>
  </sheetViews>
  <sheetFormatPr defaultRowHeight="14.4" x14ac:dyDescent="0.3"/>
  <cols>
    <col min="1" max="3" width="11.77734375" customWidth="1"/>
    <col min="4" max="6" width="8.5546875" customWidth="1"/>
    <col min="7" max="7" width="11.77734375" customWidth="1"/>
    <col min="8" max="8" width="17.88671875" customWidth="1"/>
    <col min="9" max="9" width="11.77734375" customWidth="1"/>
    <col min="10" max="10" width="18.109375" customWidth="1"/>
    <col min="11" max="11" width="11.77734375" customWidth="1"/>
    <col min="12" max="12" width="11.88671875" customWidth="1"/>
    <col min="21" max="21" width="8.88671875" customWidth="1"/>
  </cols>
  <sheetData>
    <row r="1" spans="1:11" ht="28.2" customHeight="1" x14ac:dyDescent="0.3">
      <c r="A1" s="5" t="s">
        <v>22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x14ac:dyDescent="0.3">
      <c r="C2" s="3" t="s">
        <v>21</v>
      </c>
      <c r="D2" s="3">
        <v>300</v>
      </c>
    </row>
    <row r="4" spans="1:11" ht="16.8" customHeight="1" x14ac:dyDescent="0.3">
      <c r="A4" s="2" t="s">
        <v>0</v>
      </c>
      <c r="B4" s="2" t="s">
        <v>1</v>
      </c>
      <c r="C4" s="2" t="s">
        <v>9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10</v>
      </c>
    </row>
    <row r="5" spans="1:11" x14ac:dyDescent="0.3">
      <c r="A5" s="1">
        <v>1</v>
      </c>
      <c r="B5" s="1" t="s">
        <v>11</v>
      </c>
      <c r="C5" s="1">
        <v>2</v>
      </c>
      <c r="D5" s="1">
        <v>67</v>
      </c>
      <c r="E5" s="1">
        <v>58</v>
      </c>
      <c r="F5" s="1">
        <v>66</v>
      </c>
      <c r="G5" s="1">
        <f>SUM(D5:F5)</f>
        <v>191</v>
      </c>
      <c r="H5" s="4">
        <f>G5/300*100</f>
        <v>63.666666666666671</v>
      </c>
      <c r="I5" s="1">
        <f>RANK(H5,$H$5:$H$14)</f>
        <v>4</v>
      </c>
      <c r="J5" s="1" t="str">
        <f>IF(H5&gt;=70,"A+",IF(H5&gt;=60,"A",IF(H5&gt;=50,"B",IF(H5&gt;=40,"C",IF(H5&lt;=30,"*")))))</f>
        <v>A</v>
      </c>
      <c r="K5" s="1" t="str">
        <f>IF(H5&gt;=40,"Pass","Fail")</f>
        <v>Pass</v>
      </c>
    </row>
    <row r="6" spans="1:11" x14ac:dyDescent="0.3">
      <c r="A6" s="1">
        <v>2</v>
      </c>
      <c r="B6" s="1" t="s">
        <v>12</v>
      </c>
      <c r="C6" s="1">
        <v>3</v>
      </c>
      <c r="D6" s="1">
        <v>67</v>
      </c>
      <c r="E6" s="1">
        <v>78</v>
      </c>
      <c r="F6" s="1">
        <v>90</v>
      </c>
      <c r="G6" s="1">
        <f t="shared" ref="G6:G14" si="0">SUM(D6:F6)</f>
        <v>235</v>
      </c>
      <c r="H6" s="4">
        <f t="shared" ref="H6:H14" si="1">G6/300*100</f>
        <v>78.333333333333329</v>
      </c>
      <c r="I6" s="1">
        <f t="shared" ref="I6:I14" si="2">RANK(H6,$H$5:$H$14)</f>
        <v>1</v>
      </c>
      <c r="J6" s="1" t="str">
        <f t="shared" ref="J6:J14" si="3">IF(H6&gt;=70,"A+",IF(H6&gt;=60,"A",IF(H6&gt;=50,"B",IF(H6&gt;=40,"C",IF(H6&lt;=30,"*")))))</f>
        <v>A+</v>
      </c>
      <c r="K6" s="1" t="str">
        <f t="shared" ref="K6:K14" si="4">IF(H6&gt;=40,"Pass","Fail")</f>
        <v>Pass</v>
      </c>
    </row>
    <row r="7" spans="1:11" x14ac:dyDescent="0.3">
      <c r="A7" s="1">
        <v>3</v>
      </c>
      <c r="B7" s="1" t="s">
        <v>13</v>
      </c>
      <c r="C7" s="1">
        <v>4</v>
      </c>
      <c r="D7" s="1">
        <v>45</v>
      </c>
      <c r="E7" s="1">
        <v>45</v>
      </c>
      <c r="F7" s="1">
        <v>45</v>
      </c>
      <c r="G7" s="1">
        <f t="shared" si="0"/>
        <v>135</v>
      </c>
      <c r="H7" s="4">
        <f t="shared" si="1"/>
        <v>45</v>
      </c>
      <c r="I7" s="1">
        <f t="shared" si="2"/>
        <v>9</v>
      </c>
      <c r="J7" s="1" t="str">
        <f t="shared" si="3"/>
        <v>C</v>
      </c>
      <c r="K7" s="1" t="str">
        <f t="shared" si="4"/>
        <v>Pass</v>
      </c>
    </row>
    <row r="8" spans="1:11" x14ac:dyDescent="0.3">
      <c r="A8" s="1">
        <v>4</v>
      </c>
      <c r="B8" s="1" t="s">
        <v>14</v>
      </c>
      <c r="C8" s="1">
        <v>1</v>
      </c>
      <c r="D8" s="1">
        <v>56</v>
      </c>
      <c r="E8" s="1">
        <v>66</v>
      </c>
      <c r="F8" s="1">
        <v>58</v>
      </c>
      <c r="G8" s="1">
        <f t="shared" si="0"/>
        <v>180</v>
      </c>
      <c r="H8" s="4">
        <f t="shared" si="1"/>
        <v>60</v>
      </c>
      <c r="I8" s="1">
        <f t="shared" si="2"/>
        <v>5</v>
      </c>
      <c r="J8" s="1" t="str">
        <f t="shared" si="3"/>
        <v>A</v>
      </c>
      <c r="K8" s="1" t="str">
        <f t="shared" si="4"/>
        <v>Pass</v>
      </c>
    </row>
    <row r="9" spans="1:11" x14ac:dyDescent="0.3">
      <c r="A9" s="1">
        <v>5</v>
      </c>
      <c r="B9" s="1" t="s">
        <v>15</v>
      </c>
      <c r="C9" s="1">
        <v>2</v>
      </c>
      <c r="D9" s="1">
        <v>36</v>
      </c>
      <c r="E9" s="1">
        <v>36</v>
      </c>
      <c r="F9" s="1">
        <v>36</v>
      </c>
      <c r="G9" s="1">
        <f t="shared" si="0"/>
        <v>108</v>
      </c>
      <c r="H9" s="4">
        <f t="shared" si="1"/>
        <v>36</v>
      </c>
      <c r="I9" s="1">
        <f t="shared" si="2"/>
        <v>10</v>
      </c>
      <c r="J9" s="1" t="b">
        <f>IF(H9&gt;=70,"A+",IF(H9&gt;=60,"A",IF(H9&gt;=50,"B",IF(H9&gt;=40,"C",IF(H9&lt;=30,"*")))))</f>
        <v>0</v>
      </c>
      <c r="K9" s="1" t="str">
        <f t="shared" si="4"/>
        <v>Fail</v>
      </c>
    </row>
    <row r="10" spans="1:11" x14ac:dyDescent="0.3">
      <c r="A10" s="1">
        <v>6</v>
      </c>
      <c r="B10" s="1" t="s">
        <v>16</v>
      </c>
      <c r="C10" s="1">
        <v>3</v>
      </c>
      <c r="D10" s="1">
        <v>56</v>
      </c>
      <c r="E10" s="1">
        <v>47</v>
      </c>
      <c r="F10" s="1">
        <v>33</v>
      </c>
      <c r="G10" s="1">
        <f t="shared" si="0"/>
        <v>136</v>
      </c>
      <c r="H10" s="4">
        <f t="shared" si="1"/>
        <v>45.333333333333329</v>
      </c>
      <c r="I10" s="1">
        <f t="shared" si="2"/>
        <v>8</v>
      </c>
      <c r="J10" s="1" t="str">
        <f t="shared" si="3"/>
        <v>C</v>
      </c>
      <c r="K10" s="1" t="str">
        <f t="shared" si="4"/>
        <v>Pass</v>
      </c>
    </row>
    <row r="11" spans="1:11" x14ac:dyDescent="0.3">
      <c r="A11" s="1">
        <v>7</v>
      </c>
      <c r="B11" s="1" t="s">
        <v>17</v>
      </c>
      <c r="C11" s="1">
        <v>4</v>
      </c>
      <c r="D11" s="1">
        <v>60</v>
      </c>
      <c r="E11" s="1">
        <v>70</v>
      </c>
      <c r="F11" s="1">
        <v>90</v>
      </c>
      <c r="G11" s="1">
        <f t="shared" si="0"/>
        <v>220</v>
      </c>
      <c r="H11" s="4">
        <f t="shared" si="1"/>
        <v>73.333333333333329</v>
      </c>
      <c r="I11" s="1">
        <f t="shared" si="2"/>
        <v>2</v>
      </c>
      <c r="J11" s="1" t="str">
        <f t="shared" si="3"/>
        <v>A+</v>
      </c>
      <c r="K11" s="1" t="str">
        <f t="shared" si="4"/>
        <v>Pass</v>
      </c>
    </row>
    <row r="12" spans="1:11" x14ac:dyDescent="0.3">
      <c r="A12" s="1">
        <v>8</v>
      </c>
      <c r="B12" s="1" t="s">
        <v>18</v>
      </c>
      <c r="C12" s="1">
        <v>2</v>
      </c>
      <c r="D12" s="1">
        <v>45</v>
      </c>
      <c r="E12" s="1">
        <v>36</v>
      </c>
      <c r="F12" s="1">
        <v>69</v>
      </c>
      <c r="G12" s="1">
        <f t="shared" si="0"/>
        <v>150</v>
      </c>
      <c r="H12" s="4">
        <f t="shared" si="1"/>
        <v>50</v>
      </c>
      <c r="I12" s="1">
        <f t="shared" si="2"/>
        <v>6</v>
      </c>
      <c r="J12" s="1" t="str">
        <f t="shared" si="3"/>
        <v>B</v>
      </c>
      <c r="K12" s="1" t="str">
        <f t="shared" si="4"/>
        <v>Pass</v>
      </c>
    </row>
    <row r="13" spans="1:11" x14ac:dyDescent="0.3">
      <c r="A13" s="1">
        <v>9</v>
      </c>
      <c r="B13" s="1" t="s">
        <v>19</v>
      </c>
      <c r="C13" s="1">
        <v>3</v>
      </c>
      <c r="D13" s="1">
        <v>31</v>
      </c>
      <c r="E13" s="1">
        <v>54</v>
      </c>
      <c r="F13" s="1">
        <v>59</v>
      </c>
      <c r="G13" s="1">
        <f t="shared" si="0"/>
        <v>144</v>
      </c>
      <c r="H13" s="4">
        <f t="shared" si="1"/>
        <v>48</v>
      </c>
      <c r="I13" s="1">
        <f t="shared" si="2"/>
        <v>7</v>
      </c>
      <c r="J13" s="1" t="str">
        <f t="shared" si="3"/>
        <v>C</v>
      </c>
      <c r="K13" s="1" t="str">
        <f t="shared" si="4"/>
        <v>Pass</v>
      </c>
    </row>
    <row r="14" spans="1:11" x14ac:dyDescent="0.3">
      <c r="A14" s="1">
        <v>10</v>
      </c>
      <c r="B14" s="1" t="s">
        <v>20</v>
      </c>
      <c r="C14" s="1">
        <v>4</v>
      </c>
      <c r="D14" s="1">
        <v>60</v>
      </c>
      <c r="E14" s="1">
        <v>67</v>
      </c>
      <c r="F14" s="1">
        <v>90</v>
      </c>
      <c r="G14" s="1">
        <f t="shared" si="0"/>
        <v>217</v>
      </c>
      <c r="H14" s="4">
        <f t="shared" si="1"/>
        <v>72.333333333333343</v>
      </c>
      <c r="I14" s="1">
        <f t="shared" si="2"/>
        <v>3</v>
      </c>
      <c r="J14" s="1" t="str">
        <f t="shared" si="3"/>
        <v>A+</v>
      </c>
      <c r="K14" s="1" t="str">
        <f t="shared" si="4"/>
        <v>Pass</v>
      </c>
    </row>
  </sheetData>
  <mergeCells count="1">
    <mergeCell ref="A1:K1"/>
  </mergeCells>
  <conditionalFormatting sqref="K5:K14">
    <cfRule type="containsText" dxfId="1" priority="1" operator="containsText" text="Fail">
      <formula>NOT(ISERROR(SEARCH("Fail",K5)))</formula>
    </cfRule>
    <cfRule type="containsText" dxfId="0" priority="2" operator="containsText" text="pass">
      <formula>NOT(ISERROR(SEARCH("pass",K5)))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mandal</dc:creator>
  <cp:lastModifiedBy>deepak mandal</cp:lastModifiedBy>
  <dcterms:created xsi:type="dcterms:W3CDTF">2026-08-31T06:32:36Z</dcterms:created>
  <dcterms:modified xsi:type="dcterms:W3CDTF">2026-08-31T08:33:08Z</dcterms:modified>
</cp:coreProperties>
</file>