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epak mandal\Desktop\client file\"/>
    </mc:Choice>
  </mc:AlternateContent>
  <xr:revisionPtr revIDLastSave="0" documentId="13_ncr:1_{1818A274-6F41-4A01-BC7A-E75FCDE4EE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Data_Validation" sheetId="1" r:id="rId1"/>
    <sheet name="2_Interest_Calc" sheetId="2" r:id="rId2"/>
    <sheet name="3_Data_Consolidation" sheetId="3" r:id="rId3"/>
    <sheet name="4_Grades" sheetId="4" r:id="rId4"/>
    <sheet name="5_Date_Time" sheetId="5" r:id="rId5"/>
    <sheet name="6_Payrol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6" l="1"/>
  <c r="E2" i="5"/>
  <c r="D2" i="5"/>
  <c r="C2" i="5"/>
  <c r="F2" i="4"/>
  <c r="D2" i="3"/>
  <c r="E2" i="2"/>
  <c r="D2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E2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" i="4"/>
  <c r="E4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D13" i="2"/>
  <c r="E13" i="2" s="1"/>
  <c r="D14" i="2"/>
  <c r="D15" i="2"/>
  <c r="D16" i="2"/>
  <c r="D17" i="2"/>
  <c r="E17" i="2" s="1"/>
  <c r="D18" i="2"/>
  <c r="E18" i="2" s="1"/>
  <c r="D19" i="2"/>
  <c r="E19" i="2" s="1"/>
  <c r="D20" i="2"/>
  <c r="D21" i="2"/>
  <c r="E21" i="2" s="1"/>
  <c r="D22" i="2"/>
  <c r="D23" i="2"/>
  <c r="D24" i="2"/>
  <c r="D25" i="2"/>
  <c r="E25" i="2" s="1"/>
  <c r="D26" i="2"/>
  <c r="E26" i="2" s="1"/>
  <c r="D27" i="2"/>
  <c r="E27" i="2" s="1"/>
  <c r="D28" i="2"/>
  <c r="D29" i="2"/>
  <c r="E29" i="2" s="1"/>
  <c r="E12" i="2"/>
  <c r="E14" i="2"/>
  <c r="E15" i="2"/>
  <c r="E16" i="2"/>
  <c r="E20" i="2"/>
  <c r="E22" i="2"/>
  <c r="E23" i="2"/>
  <c r="E24" i="2"/>
  <c r="E28" i="2"/>
  <c r="E30" i="2"/>
  <c r="E31" i="2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E5" i="5"/>
  <c r="D5" i="5"/>
  <c r="C5" i="5"/>
  <c r="E4" i="5"/>
  <c r="D4" i="5"/>
  <c r="C4" i="5"/>
  <c r="E3" i="5"/>
  <c r="D3" i="5"/>
  <c r="C3" i="5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</calcChain>
</file>

<file path=xl/sharedStrings.xml><?xml version="1.0" encoding="utf-8"?>
<sst xmlns="http://schemas.openxmlformats.org/spreadsheetml/2006/main" count="121" uniqueCount="117">
  <si>
    <t>Employee Name</t>
  </si>
  <si>
    <t>Department</t>
  </si>
  <si>
    <t>Status</t>
  </si>
  <si>
    <t>Departments</t>
  </si>
  <si>
    <t>Sales</t>
  </si>
  <si>
    <t>Active</t>
  </si>
  <si>
    <t>HR</t>
  </si>
  <si>
    <t>Inactive</t>
  </si>
  <si>
    <t>Finance</t>
  </si>
  <si>
    <t>IT</t>
  </si>
  <si>
    <t>Principal</t>
  </si>
  <si>
    <t>Rate %</t>
  </si>
  <si>
    <t>Years</t>
  </si>
  <si>
    <t>Interest</t>
  </si>
  <si>
    <t>Total Amount</t>
  </si>
  <si>
    <t>Source A</t>
  </si>
  <si>
    <t>Source B</t>
  </si>
  <si>
    <t>Source C</t>
  </si>
  <si>
    <t>Consolidated Total</t>
  </si>
  <si>
    <t>Student</t>
  </si>
  <si>
    <t>Math</t>
  </si>
  <si>
    <t>Science</t>
  </si>
  <si>
    <t>English</t>
  </si>
  <si>
    <t>Average</t>
  </si>
  <si>
    <t>Grade</t>
  </si>
  <si>
    <t>Start Date</t>
  </si>
  <si>
    <t>End Date</t>
  </si>
  <si>
    <t>Days Difference</t>
  </si>
  <si>
    <t>Current Date</t>
  </si>
  <si>
    <t>Current Time</t>
  </si>
  <si>
    <t>Emp ID</t>
  </si>
  <si>
    <t>Basic Salary</t>
  </si>
  <si>
    <t>Allowance</t>
  </si>
  <si>
    <t>Deduction</t>
  </si>
  <si>
    <t>Net Pay</t>
  </si>
  <si>
    <t>deepak</t>
  </si>
  <si>
    <t>aman</t>
  </si>
  <si>
    <t>amresh</t>
  </si>
  <si>
    <t>nagesh</t>
  </si>
  <si>
    <t>Kavya</t>
  </si>
  <si>
    <t>Mointor</t>
  </si>
  <si>
    <t>peter</t>
  </si>
  <si>
    <t>ayush</t>
  </si>
  <si>
    <t>gyanshubh</t>
  </si>
  <si>
    <t>arman</t>
  </si>
  <si>
    <t>kabil</t>
  </si>
  <si>
    <t>nagina</t>
  </si>
  <si>
    <t>marshol</t>
  </si>
  <si>
    <t>ambanti</t>
  </si>
  <si>
    <t>consul</t>
  </si>
  <si>
    <t>demode</t>
  </si>
  <si>
    <t>asuyi</t>
  </si>
  <si>
    <t>inar</t>
  </si>
  <si>
    <t>kalany</t>
  </si>
  <si>
    <t>oitara</t>
  </si>
  <si>
    <t>manata</t>
  </si>
  <si>
    <t>kalika</t>
  </si>
  <si>
    <t>jimmy</t>
  </si>
  <si>
    <t>awesom</t>
  </si>
  <si>
    <t>lakila</t>
  </si>
  <si>
    <t>malika</t>
  </si>
  <si>
    <t>akila</t>
  </si>
  <si>
    <t>rahula</t>
  </si>
  <si>
    <t>patula</t>
  </si>
  <si>
    <t>maddu</t>
  </si>
  <si>
    <t>D10D1</t>
  </si>
  <si>
    <t>D10D2</t>
  </si>
  <si>
    <t>D10D3</t>
  </si>
  <si>
    <t>D10D4</t>
  </si>
  <si>
    <t>D10D5</t>
  </si>
  <si>
    <t>D10D6</t>
  </si>
  <si>
    <t>D10D7</t>
  </si>
  <si>
    <t>D10D8</t>
  </si>
  <si>
    <t>D10D9</t>
  </si>
  <si>
    <t>D10D10</t>
  </si>
  <si>
    <t>D10D11</t>
  </si>
  <si>
    <t>D10D12</t>
  </si>
  <si>
    <t>D10D13</t>
  </si>
  <si>
    <t>D10D14</t>
  </si>
  <si>
    <t>D10D15</t>
  </si>
  <si>
    <t>D10D16</t>
  </si>
  <si>
    <t>D10D17</t>
  </si>
  <si>
    <t>D10D18</t>
  </si>
  <si>
    <t>D10D19</t>
  </si>
  <si>
    <t>D10D20</t>
  </si>
  <si>
    <t>D10D21</t>
  </si>
  <si>
    <t>D10D22</t>
  </si>
  <si>
    <t>D10D23</t>
  </si>
  <si>
    <t>D10D24</t>
  </si>
  <si>
    <t>D10D25</t>
  </si>
  <si>
    <t>D10D26</t>
  </si>
  <si>
    <t>AYINI</t>
  </si>
  <si>
    <t>KANILI</t>
  </si>
  <si>
    <t>LOPIYA</t>
  </si>
  <si>
    <t>DHUPIA</t>
  </si>
  <si>
    <t>AMANTA</t>
  </si>
  <si>
    <t>WERON</t>
  </si>
  <si>
    <t>DIMPLE</t>
  </si>
  <si>
    <t>NEEDI</t>
  </si>
  <si>
    <t>KABILA</t>
  </si>
  <si>
    <t>LOBIPO</t>
  </si>
  <si>
    <t>MANA</t>
  </si>
  <si>
    <t>JIMMY</t>
  </si>
  <si>
    <t>RAMOISE</t>
  </si>
  <si>
    <t>UJSTI</t>
  </si>
  <si>
    <t>PARASIT</t>
  </si>
  <si>
    <t>RAMANIND</t>
  </si>
  <si>
    <t>KALINAMA</t>
  </si>
  <si>
    <t>AMIYO</t>
  </si>
  <si>
    <t>SATHIYO</t>
  </si>
  <si>
    <t>SUDHI</t>
  </si>
  <si>
    <t>LOPILA</t>
  </si>
  <si>
    <t>NAVILA</t>
  </si>
  <si>
    <t>SEETA</t>
  </si>
  <si>
    <t>SHEELA</t>
  </si>
  <si>
    <t>AARJU</t>
  </si>
  <si>
    <t>MANYA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</si>
</sst>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[$-F800]dddd\,\ mmmm\ dd\,\ yyyy"/>
    <numFmt numFmtId="166" formatCode="[$-F400]h:mm:ss\ AM/PM"/>
    <numFmt numFmtId="167" formatCode="[$$-C09]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0" borderId="1" xfId="0" quotePrefix="1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165" fontId="0" fillId="0" borderId="0" xfId="0" applyNumberFormat="1"/>
    <xf numFmtId="166" fontId="0" fillId="0" borderId="1" xfId="0" applyNumberFormat="1" applyBorder="1"/>
    <xf numFmtId="0" fontId="0" fillId="5" borderId="1" xfId="0" quotePrefix="1" applyFill="1" applyBorder="1"/>
    <xf numFmtId="165" fontId="0" fillId="5" borderId="1" xfId="0" quotePrefix="1" applyNumberFormat="1" applyFill="1" applyBorder="1"/>
    <xf numFmtId="166" fontId="0" fillId="5" borderId="1" xfId="0" quotePrefix="1" applyNumberFormat="1" applyFill="1" applyBorder="1"/>
    <xf numFmtId="0" fontId="4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7" borderId="1" xfId="0" quotePrefix="1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E11" sqref="E11"/>
    </sheetView>
  </sheetViews>
  <sheetFormatPr defaultRowHeight="14.4" x14ac:dyDescent="0.3"/>
  <cols>
    <col min="1" max="7" width="18" customWidth="1"/>
  </cols>
  <sheetData>
    <row r="1" spans="1:7" x14ac:dyDescent="0.3">
      <c r="A1" s="4" t="s">
        <v>0</v>
      </c>
      <c r="B1" s="4" t="s">
        <v>1</v>
      </c>
      <c r="C1" s="4" t="s">
        <v>2</v>
      </c>
      <c r="F1" s="5" t="s">
        <v>3</v>
      </c>
      <c r="G1" s="5" t="s">
        <v>2</v>
      </c>
    </row>
    <row r="2" spans="1:7" x14ac:dyDescent="0.3">
      <c r="A2" s="2" t="s">
        <v>35</v>
      </c>
      <c r="B2" s="2" t="s">
        <v>6</v>
      </c>
      <c r="C2" s="2" t="s">
        <v>5</v>
      </c>
      <c r="F2" t="s">
        <v>4</v>
      </c>
      <c r="G2" t="s">
        <v>5</v>
      </c>
    </row>
    <row r="3" spans="1:7" x14ac:dyDescent="0.3">
      <c r="A3" s="2" t="s">
        <v>36</v>
      </c>
      <c r="B3" s="2"/>
      <c r="C3" s="2"/>
      <c r="F3" t="s">
        <v>6</v>
      </c>
      <c r="G3" t="s">
        <v>7</v>
      </c>
    </row>
    <row r="4" spans="1:7" x14ac:dyDescent="0.3">
      <c r="A4" s="2" t="s">
        <v>37</v>
      </c>
      <c r="B4" s="2"/>
      <c r="C4" s="2"/>
      <c r="F4" t="s">
        <v>8</v>
      </c>
    </row>
    <row r="5" spans="1:7" x14ac:dyDescent="0.3">
      <c r="A5" s="2" t="s">
        <v>38</v>
      </c>
      <c r="B5" s="2"/>
      <c r="C5" s="2"/>
      <c r="F5" t="s">
        <v>9</v>
      </c>
    </row>
    <row r="6" spans="1:7" x14ac:dyDescent="0.3">
      <c r="A6" s="2"/>
      <c r="B6" s="2"/>
      <c r="C6" s="2"/>
    </row>
    <row r="7" spans="1:7" x14ac:dyDescent="0.3">
      <c r="A7" s="2"/>
      <c r="B7" s="2"/>
      <c r="C7" s="2"/>
    </row>
    <row r="8" spans="1:7" x14ac:dyDescent="0.3">
      <c r="A8" s="2"/>
      <c r="B8" s="2"/>
      <c r="C8" s="2"/>
    </row>
    <row r="9" spans="1:7" x14ac:dyDescent="0.3">
      <c r="A9" s="2"/>
      <c r="B9" s="2"/>
      <c r="C9" s="2"/>
    </row>
    <row r="10" spans="1:7" x14ac:dyDescent="0.3">
      <c r="A10" s="2"/>
      <c r="B10" s="2"/>
      <c r="C10" s="2"/>
    </row>
    <row r="11" spans="1:7" x14ac:dyDescent="0.3">
      <c r="A11" s="2"/>
      <c r="B11" s="2"/>
      <c r="C11" s="2"/>
    </row>
    <row r="12" spans="1:7" x14ac:dyDescent="0.3">
      <c r="A12" s="2"/>
      <c r="B12" s="2"/>
      <c r="C12" s="2"/>
    </row>
    <row r="13" spans="1:7" x14ac:dyDescent="0.3">
      <c r="A13" s="2"/>
      <c r="B13" s="2"/>
      <c r="C13" s="2"/>
    </row>
    <row r="14" spans="1:7" x14ac:dyDescent="0.3">
      <c r="A14" s="2"/>
      <c r="B14" s="2"/>
      <c r="C14" s="2"/>
    </row>
    <row r="15" spans="1:7" x14ac:dyDescent="0.3">
      <c r="A15" s="2"/>
      <c r="B15" s="2"/>
      <c r="C15" s="2"/>
    </row>
    <row r="16" spans="1:7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  <row r="54" spans="1:3" x14ac:dyDescent="0.3">
      <c r="A54" s="2"/>
      <c r="B54" s="2"/>
      <c r="C54" s="2"/>
    </row>
    <row r="55" spans="1:3" x14ac:dyDescent="0.3">
      <c r="A55" s="2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3" x14ac:dyDescent="0.3">
      <c r="A65" s="2"/>
      <c r="B65" s="2"/>
      <c r="C65" s="2"/>
    </row>
    <row r="66" spans="1:3" x14ac:dyDescent="0.3">
      <c r="A66" s="2"/>
      <c r="B66" s="2"/>
      <c r="C66" s="2"/>
    </row>
    <row r="67" spans="1:3" x14ac:dyDescent="0.3">
      <c r="A67" s="2"/>
      <c r="B67" s="2"/>
      <c r="C67" s="2"/>
    </row>
    <row r="68" spans="1:3" x14ac:dyDescent="0.3">
      <c r="A68" s="2"/>
      <c r="B68" s="2"/>
      <c r="C68" s="2"/>
    </row>
    <row r="69" spans="1:3" x14ac:dyDescent="0.3">
      <c r="A69" s="2"/>
      <c r="B69" s="2"/>
      <c r="C69" s="2"/>
    </row>
    <row r="70" spans="1:3" x14ac:dyDescent="0.3">
      <c r="A70" s="2"/>
      <c r="B70" s="2"/>
      <c r="C70" s="2"/>
    </row>
    <row r="71" spans="1:3" x14ac:dyDescent="0.3">
      <c r="A71" s="2"/>
      <c r="B71" s="2"/>
      <c r="C71" s="2"/>
    </row>
    <row r="72" spans="1:3" x14ac:dyDescent="0.3">
      <c r="A72" s="2"/>
      <c r="B72" s="2"/>
      <c r="C72" s="2"/>
    </row>
    <row r="73" spans="1:3" x14ac:dyDescent="0.3">
      <c r="A73" s="2"/>
      <c r="B73" s="2"/>
      <c r="C73" s="2"/>
    </row>
    <row r="74" spans="1:3" x14ac:dyDescent="0.3">
      <c r="A74" s="2"/>
      <c r="B74" s="2"/>
      <c r="C74" s="2"/>
    </row>
    <row r="75" spans="1:3" x14ac:dyDescent="0.3">
      <c r="A75" s="2"/>
      <c r="B75" s="2"/>
      <c r="C75" s="2"/>
    </row>
    <row r="76" spans="1:3" x14ac:dyDescent="0.3">
      <c r="A76" s="2"/>
      <c r="B76" s="2"/>
      <c r="C76" s="2"/>
    </row>
    <row r="77" spans="1:3" x14ac:dyDescent="0.3">
      <c r="A77" s="2"/>
      <c r="B77" s="2"/>
      <c r="C77" s="2"/>
    </row>
    <row r="78" spans="1:3" x14ac:dyDescent="0.3">
      <c r="A78" s="2"/>
      <c r="B78" s="2"/>
      <c r="C78" s="2"/>
    </row>
    <row r="79" spans="1:3" x14ac:dyDescent="0.3">
      <c r="A79" s="2"/>
      <c r="B79" s="2"/>
      <c r="C79" s="2"/>
    </row>
    <row r="80" spans="1:3" x14ac:dyDescent="0.3">
      <c r="A80" s="2"/>
      <c r="B80" s="2"/>
      <c r="C80" s="2"/>
    </row>
    <row r="81" spans="1:3" x14ac:dyDescent="0.3">
      <c r="A81" s="2"/>
      <c r="B81" s="2"/>
      <c r="C81" s="2"/>
    </row>
    <row r="82" spans="1:3" x14ac:dyDescent="0.3">
      <c r="A82" s="2"/>
      <c r="B82" s="2"/>
      <c r="C82" s="2"/>
    </row>
    <row r="83" spans="1:3" x14ac:dyDescent="0.3">
      <c r="A83" s="2"/>
      <c r="B83" s="2"/>
      <c r="C83" s="2"/>
    </row>
    <row r="84" spans="1:3" x14ac:dyDescent="0.3">
      <c r="A84" s="2"/>
      <c r="B84" s="2"/>
      <c r="C84" s="2"/>
    </row>
    <row r="85" spans="1:3" x14ac:dyDescent="0.3">
      <c r="A85" s="2"/>
      <c r="B85" s="2"/>
      <c r="C85" s="2"/>
    </row>
    <row r="86" spans="1:3" x14ac:dyDescent="0.3">
      <c r="A86" s="2"/>
      <c r="B86" s="2"/>
      <c r="C86" s="2"/>
    </row>
    <row r="87" spans="1:3" x14ac:dyDescent="0.3">
      <c r="A87" s="2"/>
      <c r="B87" s="2"/>
      <c r="C87" s="2"/>
    </row>
    <row r="88" spans="1:3" x14ac:dyDescent="0.3">
      <c r="A88" s="2"/>
      <c r="B88" s="2"/>
      <c r="C88" s="2"/>
    </row>
    <row r="89" spans="1:3" x14ac:dyDescent="0.3">
      <c r="A89" s="2"/>
      <c r="B89" s="2"/>
      <c r="C89" s="2"/>
    </row>
    <row r="90" spans="1:3" x14ac:dyDescent="0.3">
      <c r="A90" s="2"/>
      <c r="B90" s="2"/>
      <c r="C90" s="2"/>
    </row>
    <row r="91" spans="1:3" x14ac:dyDescent="0.3">
      <c r="A91" s="2"/>
      <c r="B91" s="2"/>
      <c r="C91" s="2"/>
    </row>
    <row r="92" spans="1:3" x14ac:dyDescent="0.3">
      <c r="A92" s="2"/>
      <c r="B92" s="2"/>
      <c r="C92" s="2"/>
    </row>
    <row r="93" spans="1:3" x14ac:dyDescent="0.3">
      <c r="A93" s="2"/>
      <c r="B93" s="2"/>
      <c r="C93" s="2"/>
    </row>
    <row r="94" spans="1:3" x14ac:dyDescent="0.3">
      <c r="A94" s="2"/>
      <c r="B94" s="2"/>
      <c r="C94" s="2"/>
    </row>
    <row r="95" spans="1:3" x14ac:dyDescent="0.3">
      <c r="A95" s="2"/>
      <c r="B95" s="2"/>
      <c r="C95" s="2"/>
    </row>
    <row r="96" spans="1:3" x14ac:dyDescent="0.3">
      <c r="A96" s="2"/>
      <c r="B96" s="2"/>
      <c r="C96" s="2"/>
    </row>
    <row r="97" spans="1:3" x14ac:dyDescent="0.3">
      <c r="A97" s="2"/>
      <c r="B97" s="2"/>
      <c r="C97" s="2"/>
    </row>
    <row r="98" spans="1:3" x14ac:dyDescent="0.3">
      <c r="A98" s="2"/>
      <c r="B98" s="2"/>
      <c r="C98" s="2"/>
    </row>
    <row r="99" spans="1:3" x14ac:dyDescent="0.3">
      <c r="A99" s="2"/>
      <c r="B99" s="2"/>
      <c r="C99" s="2"/>
    </row>
    <row r="100" spans="1:3" x14ac:dyDescent="0.3">
      <c r="A100" s="2"/>
      <c r="B100" s="2"/>
      <c r="C100" s="2"/>
    </row>
    <row r="101" spans="1:3" x14ac:dyDescent="0.3">
      <c r="A101" s="2"/>
      <c r="B101" s="2"/>
      <c r="C101" s="2"/>
    </row>
    <row r="102" spans="1:3" x14ac:dyDescent="0.3">
      <c r="A102" s="2"/>
      <c r="B102" s="2"/>
      <c r="C102" s="2"/>
    </row>
    <row r="103" spans="1:3" x14ac:dyDescent="0.3">
      <c r="A103" s="2"/>
      <c r="B103" s="2"/>
      <c r="C103" s="2"/>
    </row>
    <row r="104" spans="1:3" x14ac:dyDescent="0.3">
      <c r="A104" s="2"/>
      <c r="B104" s="2"/>
      <c r="C104" s="2"/>
    </row>
    <row r="105" spans="1:3" x14ac:dyDescent="0.3">
      <c r="A105" s="2"/>
      <c r="B105" s="2"/>
      <c r="C105" s="2"/>
    </row>
    <row r="106" spans="1:3" x14ac:dyDescent="0.3">
      <c r="A106" s="2"/>
      <c r="B106" s="2"/>
      <c r="C106" s="2"/>
    </row>
    <row r="107" spans="1:3" x14ac:dyDescent="0.3">
      <c r="A107" s="2"/>
      <c r="B107" s="2"/>
      <c r="C107" s="2"/>
    </row>
    <row r="108" spans="1:3" x14ac:dyDescent="0.3">
      <c r="A108" s="2"/>
      <c r="B108" s="2"/>
      <c r="C108" s="2"/>
    </row>
    <row r="109" spans="1:3" x14ac:dyDescent="0.3">
      <c r="A109" s="2"/>
      <c r="B109" s="2"/>
      <c r="C109" s="2"/>
    </row>
    <row r="110" spans="1:3" x14ac:dyDescent="0.3">
      <c r="A110" s="2"/>
      <c r="B110" s="2"/>
      <c r="C110" s="2"/>
    </row>
    <row r="111" spans="1:3" x14ac:dyDescent="0.3">
      <c r="A111" s="2"/>
      <c r="B111" s="2"/>
      <c r="C111" s="2"/>
    </row>
    <row r="112" spans="1:3" x14ac:dyDescent="0.3">
      <c r="A112" s="2"/>
      <c r="B112" s="2"/>
      <c r="C112" s="2"/>
    </row>
    <row r="113" spans="1:3" x14ac:dyDescent="0.3">
      <c r="A113" s="2"/>
      <c r="B113" s="2"/>
      <c r="C113" s="2"/>
    </row>
    <row r="114" spans="1:3" x14ac:dyDescent="0.3">
      <c r="A114" s="2"/>
      <c r="B114" s="2"/>
      <c r="C114" s="2"/>
    </row>
    <row r="115" spans="1:3" x14ac:dyDescent="0.3">
      <c r="A115" s="2"/>
      <c r="B115" s="2"/>
      <c r="C115" s="2"/>
    </row>
    <row r="116" spans="1:3" x14ac:dyDescent="0.3">
      <c r="A116" s="2"/>
      <c r="B116" s="2"/>
      <c r="C116" s="2"/>
    </row>
    <row r="117" spans="1:3" x14ac:dyDescent="0.3">
      <c r="A117" s="2"/>
      <c r="B117" s="2"/>
      <c r="C117" s="2"/>
    </row>
    <row r="118" spans="1:3" x14ac:dyDescent="0.3">
      <c r="A118" s="2"/>
      <c r="B118" s="2"/>
      <c r="C118" s="2"/>
    </row>
    <row r="119" spans="1:3" x14ac:dyDescent="0.3">
      <c r="A119" s="2"/>
      <c r="B119" s="2"/>
      <c r="C119" s="2"/>
    </row>
    <row r="120" spans="1:3" x14ac:dyDescent="0.3">
      <c r="A120" s="2"/>
      <c r="B120" s="2"/>
      <c r="C120" s="2"/>
    </row>
    <row r="121" spans="1:3" x14ac:dyDescent="0.3">
      <c r="A121" s="2"/>
      <c r="B121" s="2"/>
      <c r="C121" s="2"/>
    </row>
    <row r="122" spans="1:3" x14ac:dyDescent="0.3">
      <c r="A122" s="2"/>
      <c r="B122" s="2"/>
      <c r="C122" s="2"/>
    </row>
    <row r="123" spans="1:3" x14ac:dyDescent="0.3">
      <c r="A123" s="2"/>
      <c r="B123" s="2"/>
      <c r="C123" s="2"/>
    </row>
    <row r="124" spans="1:3" x14ac:dyDescent="0.3">
      <c r="A124" s="2"/>
      <c r="B124" s="2"/>
      <c r="C124" s="2"/>
    </row>
    <row r="125" spans="1:3" x14ac:dyDescent="0.3">
      <c r="A125" s="2"/>
      <c r="B125" s="2"/>
      <c r="C125" s="2"/>
    </row>
    <row r="126" spans="1:3" x14ac:dyDescent="0.3">
      <c r="A126" s="2"/>
      <c r="B126" s="2"/>
      <c r="C126" s="2"/>
    </row>
    <row r="127" spans="1:3" x14ac:dyDescent="0.3">
      <c r="A127" s="2"/>
      <c r="B127" s="2"/>
      <c r="C127" s="2"/>
    </row>
    <row r="128" spans="1:3" x14ac:dyDescent="0.3">
      <c r="A128" s="2"/>
      <c r="B128" s="2"/>
      <c r="C128" s="2"/>
    </row>
    <row r="129" spans="1:3" x14ac:dyDescent="0.3">
      <c r="A129" s="2"/>
      <c r="B129" s="2"/>
      <c r="C129" s="2"/>
    </row>
    <row r="130" spans="1:3" x14ac:dyDescent="0.3">
      <c r="A130" s="2"/>
      <c r="B130" s="2"/>
      <c r="C130" s="2"/>
    </row>
    <row r="131" spans="1:3" x14ac:dyDescent="0.3">
      <c r="A131" s="2"/>
      <c r="B131" s="2"/>
      <c r="C131" s="2"/>
    </row>
    <row r="132" spans="1:3" x14ac:dyDescent="0.3">
      <c r="A132" s="2"/>
      <c r="B132" s="2"/>
      <c r="C132" s="2"/>
    </row>
    <row r="133" spans="1:3" x14ac:dyDescent="0.3">
      <c r="A133" s="2"/>
      <c r="B133" s="2"/>
      <c r="C133" s="2"/>
    </row>
    <row r="134" spans="1:3" x14ac:dyDescent="0.3">
      <c r="A134" s="2"/>
      <c r="B134" s="2"/>
      <c r="C134" s="2"/>
    </row>
    <row r="135" spans="1:3" x14ac:dyDescent="0.3">
      <c r="A135" s="2"/>
      <c r="B135" s="2"/>
      <c r="C135" s="2"/>
    </row>
    <row r="136" spans="1:3" x14ac:dyDescent="0.3">
      <c r="A136" s="2"/>
      <c r="B136" s="2"/>
      <c r="C136" s="2"/>
    </row>
    <row r="137" spans="1:3" x14ac:dyDescent="0.3">
      <c r="A137" s="2"/>
      <c r="B137" s="2"/>
      <c r="C137" s="2"/>
    </row>
    <row r="138" spans="1:3" x14ac:dyDescent="0.3">
      <c r="A138" s="2"/>
      <c r="B138" s="2"/>
      <c r="C138" s="2"/>
    </row>
    <row r="139" spans="1:3" x14ac:dyDescent="0.3">
      <c r="A139" s="2"/>
      <c r="B139" s="2"/>
      <c r="C139" s="2"/>
    </row>
    <row r="140" spans="1:3" x14ac:dyDescent="0.3">
      <c r="A140" s="2"/>
      <c r="B140" s="2"/>
      <c r="C140" s="2"/>
    </row>
    <row r="141" spans="1:3" x14ac:dyDescent="0.3">
      <c r="A141" s="2"/>
      <c r="B141" s="2"/>
      <c r="C141" s="2"/>
    </row>
    <row r="142" spans="1:3" x14ac:dyDescent="0.3">
      <c r="A142" s="2"/>
      <c r="B142" s="2"/>
      <c r="C142" s="2"/>
    </row>
    <row r="143" spans="1:3" x14ac:dyDescent="0.3">
      <c r="A143" s="2"/>
      <c r="B143" s="2"/>
      <c r="C143" s="2"/>
    </row>
    <row r="144" spans="1:3" x14ac:dyDescent="0.3">
      <c r="A144" s="2"/>
      <c r="B144" s="2"/>
      <c r="C144" s="2"/>
    </row>
    <row r="145" spans="1:3" x14ac:dyDescent="0.3">
      <c r="A145" s="2"/>
      <c r="B145" s="2"/>
      <c r="C145" s="2"/>
    </row>
    <row r="146" spans="1:3" x14ac:dyDescent="0.3">
      <c r="A146" s="2"/>
      <c r="B146" s="2"/>
      <c r="C146" s="2"/>
    </row>
    <row r="147" spans="1:3" x14ac:dyDescent="0.3">
      <c r="A147" s="2"/>
      <c r="B147" s="2"/>
      <c r="C147" s="2"/>
    </row>
    <row r="148" spans="1:3" x14ac:dyDescent="0.3">
      <c r="A148" s="2"/>
      <c r="B148" s="2"/>
      <c r="C148" s="2"/>
    </row>
    <row r="149" spans="1:3" x14ac:dyDescent="0.3">
      <c r="A149" s="2"/>
      <c r="B149" s="2"/>
      <c r="C149" s="2"/>
    </row>
    <row r="150" spans="1:3" x14ac:dyDescent="0.3">
      <c r="A150" s="2"/>
      <c r="B150" s="2"/>
      <c r="C150" s="2"/>
    </row>
    <row r="151" spans="1:3" x14ac:dyDescent="0.3">
      <c r="A151" s="2"/>
      <c r="B151" s="2"/>
      <c r="C151" s="2"/>
    </row>
  </sheetData>
  <dataValidations count="2">
    <dataValidation type="list" sqref="B2:B100" xr:uid="{00000000-0002-0000-0000-000000000000}">
      <formula1>$F$2:$F$5</formula1>
    </dataValidation>
    <dataValidation type="list" sqref="C2:C100" xr:uid="{00000000-0002-0000-0000-000001000000}">
      <formula1>$G$2:$G$3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J12" sqref="J12"/>
    </sheetView>
  </sheetViews>
  <sheetFormatPr defaultRowHeight="14.4" x14ac:dyDescent="0.3"/>
  <cols>
    <col min="1" max="1" width="18" style="7" customWidth="1"/>
    <col min="2" max="5" width="18" style="1" customWidth="1"/>
  </cols>
  <sheetData>
    <row r="1" spans="1:5" ht="25.2" customHeight="1" x14ac:dyDescent="0.3">
      <c r="A1" s="10" t="s">
        <v>10</v>
      </c>
      <c r="B1" s="11" t="s">
        <v>11</v>
      </c>
      <c r="C1" s="11" t="s">
        <v>12</v>
      </c>
      <c r="D1" s="11" t="s">
        <v>13</v>
      </c>
      <c r="E1" s="11" t="s">
        <v>14</v>
      </c>
    </row>
    <row r="2" spans="1:5" x14ac:dyDescent="0.3">
      <c r="A2" s="6">
        <v>100000</v>
      </c>
      <c r="B2" s="2">
        <v>4</v>
      </c>
      <c r="C2" s="2">
        <v>2</v>
      </c>
      <c r="D2" s="8">
        <f>A2*B2/100*C2</f>
        <v>8000</v>
      </c>
      <c r="E2" s="8">
        <f>A2+D2</f>
        <v>108000</v>
      </c>
    </row>
    <row r="3" spans="1:5" x14ac:dyDescent="0.3">
      <c r="A3" s="6">
        <v>50000</v>
      </c>
      <c r="B3" s="2">
        <v>3</v>
      </c>
      <c r="C3" s="2">
        <v>3</v>
      </c>
      <c r="D3" s="8">
        <f t="shared" ref="D3:D29" si="0">A3*B3/100*C3</f>
        <v>4500</v>
      </c>
      <c r="E3" s="8">
        <f t="shared" ref="E3:E31" si="1">A3+D3</f>
        <v>54500</v>
      </c>
    </row>
    <row r="4" spans="1:5" x14ac:dyDescent="0.3">
      <c r="A4" s="6">
        <v>1500000</v>
      </c>
      <c r="B4" s="2">
        <v>5</v>
      </c>
      <c r="C4" s="2">
        <v>4</v>
      </c>
      <c r="D4" s="8">
        <f t="shared" si="0"/>
        <v>300000</v>
      </c>
      <c r="E4" s="8">
        <f t="shared" si="1"/>
        <v>1800000</v>
      </c>
    </row>
    <row r="5" spans="1:5" x14ac:dyDescent="0.3">
      <c r="A5" s="6">
        <v>20000</v>
      </c>
      <c r="B5" s="2">
        <v>4</v>
      </c>
      <c r="C5" s="2">
        <v>5</v>
      </c>
      <c r="D5" s="8">
        <f t="shared" si="0"/>
        <v>4000</v>
      </c>
      <c r="E5" s="8">
        <f t="shared" si="1"/>
        <v>24000</v>
      </c>
    </row>
    <row r="6" spans="1:5" x14ac:dyDescent="0.3">
      <c r="A6" s="6">
        <v>230000</v>
      </c>
      <c r="B6" s="2">
        <v>2</v>
      </c>
      <c r="C6" s="2">
        <v>6</v>
      </c>
      <c r="D6" s="8">
        <f t="shared" si="0"/>
        <v>27600</v>
      </c>
      <c r="E6" s="8">
        <f t="shared" si="1"/>
        <v>257600</v>
      </c>
    </row>
    <row r="7" spans="1:5" x14ac:dyDescent="0.3">
      <c r="A7" s="6">
        <v>300000</v>
      </c>
      <c r="B7" s="2">
        <v>4</v>
      </c>
      <c r="C7" s="2">
        <v>2</v>
      </c>
      <c r="D7" s="8">
        <f t="shared" si="0"/>
        <v>24000</v>
      </c>
      <c r="E7" s="8">
        <f t="shared" si="1"/>
        <v>324000</v>
      </c>
    </row>
    <row r="8" spans="1:5" x14ac:dyDescent="0.3">
      <c r="A8" s="6">
        <v>450000</v>
      </c>
      <c r="B8" s="2">
        <v>5</v>
      </c>
      <c r="C8" s="2">
        <v>1</v>
      </c>
      <c r="D8" s="8">
        <f t="shared" si="0"/>
        <v>22500</v>
      </c>
      <c r="E8" s="8">
        <f t="shared" si="1"/>
        <v>472500</v>
      </c>
    </row>
    <row r="9" spans="1:5" x14ac:dyDescent="0.3">
      <c r="A9" s="6"/>
      <c r="B9" s="2"/>
      <c r="C9" s="2"/>
      <c r="D9" s="8">
        <f t="shared" si="0"/>
        <v>0</v>
      </c>
      <c r="E9" s="8">
        <f t="shared" si="1"/>
        <v>0</v>
      </c>
    </row>
    <row r="10" spans="1:5" x14ac:dyDescent="0.3">
      <c r="A10" s="6"/>
      <c r="B10" s="2"/>
      <c r="C10" s="2"/>
      <c r="D10" s="8">
        <f t="shared" si="0"/>
        <v>0</v>
      </c>
      <c r="E10" s="8">
        <f t="shared" si="1"/>
        <v>0</v>
      </c>
    </row>
    <row r="11" spans="1:5" x14ac:dyDescent="0.3">
      <c r="A11" s="6"/>
      <c r="B11" s="2"/>
      <c r="C11" s="2"/>
      <c r="D11" s="8">
        <f t="shared" si="0"/>
        <v>0</v>
      </c>
      <c r="E11" s="8">
        <f t="shared" si="1"/>
        <v>0</v>
      </c>
    </row>
    <row r="12" spans="1:5" x14ac:dyDescent="0.3">
      <c r="A12" s="6"/>
      <c r="B12" s="2"/>
      <c r="C12" s="2"/>
      <c r="D12" s="8">
        <f t="shared" si="0"/>
        <v>0</v>
      </c>
      <c r="E12" s="8">
        <f t="shared" si="1"/>
        <v>0</v>
      </c>
    </row>
    <row r="13" spans="1:5" x14ac:dyDescent="0.3">
      <c r="A13" s="6"/>
      <c r="B13" s="2"/>
      <c r="C13" s="2"/>
      <c r="D13" s="8">
        <f t="shared" si="0"/>
        <v>0</v>
      </c>
      <c r="E13" s="8">
        <f t="shared" si="1"/>
        <v>0</v>
      </c>
    </row>
    <row r="14" spans="1:5" x14ac:dyDescent="0.3">
      <c r="A14" s="6"/>
      <c r="B14" s="2"/>
      <c r="C14" s="2"/>
      <c r="D14" s="8">
        <f t="shared" si="0"/>
        <v>0</v>
      </c>
      <c r="E14" s="8">
        <f t="shared" si="1"/>
        <v>0</v>
      </c>
    </row>
    <row r="15" spans="1:5" x14ac:dyDescent="0.3">
      <c r="A15" s="6"/>
      <c r="B15" s="2"/>
      <c r="C15" s="2"/>
      <c r="D15" s="8">
        <f t="shared" si="0"/>
        <v>0</v>
      </c>
      <c r="E15" s="8">
        <f t="shared" si="1"/>
        <v>0</v>
      </c>
    </row>
    <row r="16" spans="1:5" x14ac:dyDescent="0.3">
      <c r="A16" s="6"/>
      <c r="B16" s="2"/>
      <c r="C16" s="2"/>
      <c r="D16" s="8">
        <f t="shared" si="0"/>
        <v>0</v>
      </c>
      <c r="E16" s="8">
        <f t="shared" si="1"/>
        <v>0</v>
      </c>
    </row>
    <row r="17" spans="1:5" x14ac:dyDescent="0.3">
      <c r="A17" s="6"/>
      <c r="B17" s="2"/>
      <c r="C17" s="2"/>
      <c r="D17" s="8">
        <f t="shared" si="0"/>
        <v>0</v>
      </c>
      <c r="E17" s="8">
        <f t="shared" si="1"/>
        <v>0</v>
      </c>
    </row>
    <row r="18" spans="1:5" x14ac:dyDescent="0.3">
      <c r="A18" s="6"/>
      <c r="B18" s="2"/>
      <c r="C18" s="2"/>
      <c r="D18" s="8">
        <f t="shared" si="0"/>
        <v>0</v>
      </c>
      <c r="E18" s="8">
        <f t="shared" si="1"/>
        <v>0</v>
      </c>
    </row>
    <row r="19" spans="1:5" x14ac:dyDescent="0.3">
      <c r="A19" s="6"/>
      <c r="B19" s="2"/>
      <c r="C19" s="2"/>
      <c r="D19" s="8">
        <f t="shared" si="0"/>
        <v>0</v>
      </c>
      <c r="E19" s="8">
        <f t="shared" si="1"/>
        <v>0</v>
      </c>
    </row>
    <row r="20" spans="1:5" x14ac:dyDescent="0.3">
      <c r="A20" s="6"/>
      <c r="B20" s="2"/>
      <c r="C20" s="2"/>
      <c r="D20" s="8">
        <f t="shared" si="0"/>
        <v>0</v>
      </c>
      <c r="E20" s="8">
        <f t="shared" si="1"/>
        <v>0</v>
      </c>
    </row>
    <row r="21" spans="1:5" x14ac:dyDescent="0.3">
      <c r="D21" s="8">
        <f t="shared" si="0"/>
        <v>0</v>
      </c>
      <c r="E21" s="8">
        <f t="shared" si="1"/>
        <v>0</v>
      </c>
    </row>
    <row r="22" spans="1:5" x14ac:dyDescent="0.3">
      <c r="D22" s="8">
        <f t="shared" si="0"/>
        <v>0</v>
      </c>
      <c r="E22" s="8">
        <f t="shared" si="1"/>
        <v>0</v>
      </c>
    </row>
    <row r="23" spans="1:5" x14ac:dyDescent="0.3">
      <c r="D23" s="8">
        <f t="shared" si="0"/>
        <v>0</v>
      </c>
      <c r="E23" s="8">
        <f t="shared" si="1"/>
        <v>0</v>
      </c>
    </row>
    <row r="24" spans="1:5" x14ac:dyDescent="0.3">
      <c r="D24" s="8">
        <f t="shared" si="0"/>
        <v>0</v>
      </c>
      <c r="E24" s="8">
        <f t="shared" si="1"/>
        <v>0</v>
      </c>
    </row>
    <row r="25" spans="1:5" x14ac:dyDescent="0.3">
      <c r="D25" s="8">
        <f t="shared" si="0"/>
        <v>0</v>
      </c>
      <c r="E25" s="8">
        <f t="shared" si="1"/>
        <v>0</v>
      </c>
    </row>
    <row r="26" spans="1:5" x14ac:dyDescent="0.3">
      <c r="D26" s="8">
        <f t="shared" si="0"/>
        <v>0</v>
      </c>
      <c r="E26" s="8">
        <f t="shared" si="1"/>
        <v>0</v>
      </c>
    </row>
    <row r="27" spans="1:5" x14ac:dyDescent="0.3">
      <c r="D27" s="8">
        <f t="shared" si="0"/>
        <v>0</v>
      </c>
      <c r="E27" s="8">
        <f t="shared" si="1"/>
        <v>0</v>
      </c>
    </row>
    <row r="28" spans="1:5" x14ac:dyDescent="0.3">
      <c r="D28" s="8">
        <f t="shared" si="0"/>
        <v>0</v>
      </c>
      <c r="E28" s="8">
        <f t="shared" si="1"/>
        <v>0</v>
      </c>
    </row>
    <row r="29" spans="1:5" x14ac:dyDescent="0.3">
      <c r="D29" s="8">
        <f t="shared" si="0"/>
        <v>0</v>
      </c>
      <c r="E29" s="8">
        <f t="shared" si="1"/>
        <v>0</v>
      </c>
    </row>
    <row r="30" spans="1:5" x14ac:dyDescent="0.3">
      <c r="E30" s="8">
        <f t="shared" si="1"/>
        <v>0</v>
      </c>
    </row>
    <row r="31" spans="1:5" x14ac:dyDescent="0.3">
      <c r="E31" s="8">
        <f t="shared" si="1"/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>
      <selection activeCell="I2" sqref="I2"/>
    </sheetView>
  </sheetViews>
  <sheetFormatPr defaultRowHeight="14.4" x14ac:dyDescent="0.3"/>
  <cols>
    <col min="1" max="3" width="18" customWidth="1"/>
    <col min="4" max="4" width="20.21875" customWidth="1"/>
  </cols>
  <sheetData>
    <row r="1" spans="1:4" ht="27" customHeight="1" x14ac:dyDescent="0.3">
      <c r="A1" s="9" t="s">
        <v>15</v>
      </c>
      <c r="B1" s="9" t="s">
        <v>16</v>
      </c>
      <c r="C1" s="9" t="s">
        <v>17</v>
      </c>
      <c r="D1" s="9" t="s">
        <v>18</v>
      </c>
    </row>
    <row r="2" spans="1:4" x14ac:dyDescent="0.3">
      <c r="A2" s="13">
        <v>12</v>
      </c>
      <c r="B2" s="13">
        <v>44</v>
      </c>
      <c r="C2" s="13">
        <v>10</v>
      </c>
      <c r="D2" s="14">
        <f>SUM(A2:C2)</f>
        <v>66</v>
      </c>
    </row>
    <row r="3" spans="1:4" x14ac:dyDescent="0.3">
      <c r="A3" s="13">
        <v>12</v>
      </c>
      <c r="B3" s="13">
        <v>33</v>
      </c>
      <c r="C3" s="13">
        <v>12</v>
      </c>
      <c r="D3" s="13">
        <f t="shared" ref="D3:D20" si="0">SUM(A3:C3)</f>
        <v>57</v>
      </c>
    </row>
    <row r="4" spans="1:4" x14ac:dyDescent="0.3">
      <c r="A4" s="13"/>
      <c r="B4" s="13"/>
      <c r="C4" s="13"/>
      <c r="D4" s="13">
        <f t="shared" si="0"/>
        <v>0</v>
      </c>
    </row>
    <row r="5" spans="1:4" x14ac:dyDescent="0.3">
      <c r="A5" s="13"/>
      <c r="B5" s="13"/>
      <c r="C5" s="13"/>
      <c r="D5" s="13">
        <f t="shared" si="0"/>
        <v>0</v>
      </c>
    </row>
    <row r="6" spans="1:4" x14ac:dyDescent="0.3">
      <c r="A6" s="13"/>
      <c r="B6" s="13"/>
      <c r="C6" s="13"/>
      <c r="D6" s="13">
        <f t="shared" si="0"/>
        <v>0</v>
      </c>
    </row>
    <row r="7" spans="1:4" x14ac:dyDescent="0.3">
      <c r="A7" s="13"/>
      <c r="B7" s="13"/>
      <c r="C7" s="13"/>
      <c r="D7" s="13">
        <f t="shared" si="0"/>
        <v>0</v>
      </c>
    </row>
    <row r="8" spans="1:4" x14ac:dyDescent="0.3">
      <c r="A8" s="13"/>
      <c r="B8" s="13"/>
      <c r="C8" s="13"/>
      <c r="D8" s="13">
        <f t="shared" si="0"/>
        <v>0</v>
      </c>
    </row>
    <row r="9" spans="1:4" x14ac:dyDescent="0.3">
      <c r="A9" s="13"/>
      <c r="B9" s="13"/>
      <c r="C9" s="13"/>
      <c r="D9" s="13">
        <f t="shared" si="0"/>
        <v>0</v>
      </c>
    </row>
    <row r="10" spans="1:4" x14ac:dyDescent="0.3">
      <c r="A10" s="13"/>
      <c r="B10" s="13"/>
      <c r="C10" s="13"/>
      <c r="D10" s="13">
        <f t="shared" si="0"/>
        <v>0</v>
      </c>
    </row>
    <row r="11" spans="1:4" x14ac:dyDescent="0.3">
      <c r="A11" s="13"/>
      <c r="B11" s="13"/>
      <c r="C11" s="13"/>
      <c r="D11" s="13">
        <f t="shared" si="0"/>
        <v>0</v>
      </c>
    </row>
    <row r="12" spans="1:4" x14ac:dyDescent="0.3">
      <c r="A12" s="13"/>
      <c r="B12" s="13"/>
      <c r="C12" s="13"/>
      <c r="D12" s="13">
        <f t="shared" si="0"/>
        <v>0</v>
      </c>
    </row>
    <row r="13" spans="1:4" x14ac:dyDescent="0.3">
      <c r="A13" s="13"/>
      <c r="B13" s="13"/>
      <c r="C13" s="13"/>
      <c r="D13" s="13">
        <f t="shared" si="0"/>
        <v>0</v>
      </c>
    </row>
    <row r="14" spans="1:4" x14ac:dyDescent="0.3">
      <c r="A14" s="13"/>
      <c r="B14" s="13"/>
      <c r="C14" s="13"/>
      <c r="D14" s="13">
        <f t="shared" si="0"/>
        <v>0</v>
      </c>
    </row>
    <row r="15" spans="1:4" x14ac:dyDescent="0.3">
      <c r="A15" s="13"/>
      <c r="B15" s="13"/>
      <c r="C15" s="13"/>
      <c r="D15" s="13">
        <f t="shared" si="0"/>
        <v>0</v>
      </c>
    </row>
    <row r="16" spans="1:4" x14ac:dyDescent="0.3">
      <c r="A16" s="13"/>
      <c r="B16" s="13"/>
      <c r="C16" s="13"/>
      <c r="D16" s="13">
        <f t="shared" si="0"/>
        <v>0</v>
      </c>
    </row>
    <row r="17" spans="1:4" x14ac:dyDescent="0.3">
      <c r="A17" s="13"/>
      <c r="B17" s="13"/>
      <c r="C17" s="13"/>
      <c r="D17" s="13">
        <f t="shared" si="0"/>
        <v>0</v>
      </c>
    </row>
    <row r="18" spans="1:4" x14ac:dyDescent="0.3">
      <c r="A18" s="13"/>
      <c r="B18" s="13"/>
      <c r="C18" s="13"/>
      <c r="D18" s="13">
        <f t="shared" si="0"/>
        <v>0</v>
      </c>
    </row>
    <row r="19" spans="1:4" x14ac:dyDescent="0.3">
      <c r="A19" s="13"/>
      <c r="B19" s="13"/>
      <c r="C19" s="13"/>
      <c r="D19" s="13">
        <f t="shared" si="0"/>
        <v>0</v>
      </c>
    </row>
    <row r="20" spans="1:4" x14ac:dyDescent="0.3">
      <c r="A20" s="13"/>
      <c r="B20" s="13"/>
      <c r="C20" s="13"/>
      <c r="D20" s="13">
        <f t="shared" si="0"/>
        <v>0</v>
      </c>
    </row>
    <row r="21" spans="1:4" x14ac:dyDescent="0.3">
      <c r="A21" s="13"/>
      <c r="B21" s="13"/>
      <c r="C21" s="13"/>
      <c r="D21" s="13"/>
    </row>
    <row r="22" spans="1:4" x14ac:dyDescent="0.3">
      <c r="A22" s="13"/>
      <c r="B22" s="13"/>
      <c r="C22" s="13"/>
      <c r="D22" s="13"/>
    </row>
    <row r="23" spans="1:4" x14ac:dyDescent="0.3">
      <c r="A23" s="13"/>
      <c r="B23" s="13"/>
      <c r="C23" s="13"/>
      <c r="D23" s="13"/>
    </row>
    <row r="24" spans="1:4" x14ac:dyDescent="0.3">
      <c r="A24" s="13"/>
      <c r="B24" s="13"/>
      <c r="C24" s="13"/>
      <c r="D24" s="13"/>
    </row>
    <row r="25" spans="1:4" x14ac:dyDescent="0.3">
      <c r="A25" s="13"/>
      <c r="B25" s="13"/>
      <c r="C25" s="13"/>
      <c r="D25" s="13"/>
    </row>
    <row r="26" spans="1:4" x14ac:dyDescent="0.3">
      <c r="A26" s="13"/>
      <c r="B26" s="13"/>
      <c r="C26" s="13"/>
      <c r="D26" s="13"/>
    </row>
    <row r="27" spans="1:4" x14ac:dyDescent="0.3">
      <c r="A27" s="13"/>
      <c r="B27" s="13"/>
      <c r="C27" s="13"/>
      <c r="D27" s="13"/>
    </row>
    <row r="28" spans="1:4" x14ac:dyDescent="0.3">
      <c r="A28" s="13"/>
      <c r="B28" s="13"/>
      <c r="C28" s="13"/>
      <c r="D28" s="13"/>
    </row>
    <row r="29" spans="1:4" x14ac:dyDescent="0.3">
      <c r="A29" s="13"/>
      <c r="B29" s="13"/>
      <c r="C29" s="13"/>
      <c r="D29" s="13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>
      <selection activeCell="F3" sqref="F3"/>
    </sheetView>
  </sheetViews>
  <sheetFormatPr defaultRowHeight="14.4" x14ac:dyDescent="0.3"/>
  <cols>
    <col min="1" max="1" width="11.109375" style="2" customWidth="1"/>
    <col min="2" max="4" width="8.6640625" style="2" customWidth="1"/>
    <col min="5" max="5" width="15.6640625" style="2" customWidth="1"/>
    <col min="6" max="6" width="53" style="2" customWidth="1"/>
  </cols>
  <sheetData>
    <row r="1" spans="1:6" ht="28.2" customHeight="1" x14ac:dyDescent="0.3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spans="1:6" x14ac:dyDescent="0.3">
      <c r="A2" s="2" t="s">
        <v>39</v>
      </c>
      <c r="B2" s="2">
        <v>98</v>
      </c>
      <c r="C2" s="2">
        <v>88</v>
      </c>
      <c r="D2" s="2">
        <v>88</v>
      </c>
      <c r="E2" s="16">
        <f>AVERAGE(B2:D2)</f>
        <v>91.333333333333329</v>
      </c>
      <c r="F2" s="14" t="str">
        <f>IF(E2&gt;=90,"A",IF(E2&gt;=80,"B",IF(E2&gt;=70,"C",IF(E2&gt;=60,"D","F"))))</f>
        <v>A</v>
      </c>
    </row>
    <row r="3" spans="1:6" x14ac:dyDescent="0.3">
      <c r="A3" s="2" t="s">
        <v>40</v>
      </c>
      <c r="B3" s="2">
        <v>76</v>
      </c>
      <c r="C3" s="2">
        <v>56</v>
      </c>
      <c r="D3" s="2">
        <v>45</v>
      </c>
      <c r="E3" s="15">
        <f t="shared" ref="E3:E50" si="0">AVERAGE(B3:D3)</f>
        <v>59</v>
      </c>
      <c r="F3" s="14" t="str">
        <f t="shared" ref="F3:F50" si="1">IF(E3&gt;=90,"A",IF(E3&gt;=80,"B",IF(E3&gt;=70,"C",IF(E3&gt;=60,"D","F"))))</f>
        <v>F</v>
      </c>
    </row>
    <row r="4" spans="1:6" x14ac:dyDescent="0.3">
      <c r="A4" s="2" t="s">
        <v>41</v>
      </c>
      <c r="B4" s="2">
        <v>45</v>
      </c>
      <c r="C4" s="2">
        <v>55</v>
      </c>
      <c r="D4" s="2">
        <v>77</v>
      </c>
      <c r="E4" s="15">
        <f t="shared" si="0"/>
        <v>59</v>
      </c>
      <c r="F4" s="14" t="str">
        <f t="shared" si="1"/>
        <v>F</v>
      </c>
    </row>
    <row r="5" spans="1:6" x14ac:dyDescent="0.3">
      <c r="A5" s="2" t="s">
        <v>42</v>
      </c>
      <c r="B5" s="2">
        <v>88</v>
      </c>
      <c r="C5" s="2">
        <v>88</v>
      </c>
      <c r="D5" s="2">
        <v>98</v>
      </c>
      <c r="E5" s="15">
        <f t="shared" si="0"/>
        <v>91.333333333333329</v>
      </c>
      <c r="F5" s="14" t="str">
        <f t="shared" si="1"/>
        <v>A</v>
      </c>
    </row>
    <row r="6" spans="1:6" x14ac:dyDescent="0.3">
      <c r="A6" s="2" t="s">
        <v>43</v>
      </c>
      <c r="B6" s="2">
        <v>56</v>
      </c>
      <c r="C6" s="2">
        <v>45</v>
      </c>
      <c r="D6" s="2">
        <v>76</v>
      </c>
      <c r="E6" s="15">
        <f t="shared" si="0"/>
        <v>59</v>
      </c>
      <c r="F6" s="14" t="str">
        <f t="shared" si="1"/>
        <v>F</v>
      </c>
    </row>
    <row r="7" spans="1:6" x14ac:dyDescent="0.3">
      <c r="A7" s="2" t="s">
        <v>44</v>
      </c>
      <c r="B7" s="2">
        <v>55</v>
      </c>
      <c r="C7" s="2">
        <v>77</v>
      </c>
      <c r="D7" s="2">
        <v>45</v>
      </c>
      <c r="E7" s="15">
        <f t="shared" si="0"/>
        <v>59</v>
      </c>
      <c r="F7" s="14" t="str">
        <f t="shared" si="1"/>
        <v>F</v>
      </c>
    </row>
    <row r="8" spans="1:6" x14ac:dyDescent="0.3">
      <c r="A8" s="2" t="s">
        <v>45</v>
      </c>
      <c r="B8" s="2">
        <v>98</v>
      </c>
      <c r="C8" s="2">
        <v>88</v>
      </c>
      <c r="D8" s="2">
        <v>88</v>
      </c>
      <c r="E8" s="15">
        <f t="shared" si="0"/>
        <v>91.333333333333329</v>
      </c>
      <c r="F8" s="14" t="str">
        <f t="shared" si="1"/>
        <v>A</v>
      </c>
    </row>
    <row r="9" spans="1:6" x14ac:dyDescent="0.3">
      <c r="A9" s="2" t="s">
        <v>46</v>
      </c>
      <c r="B9" s="2">
        <v>76</v>
      </c>
      <c r="C9" s="2">
        <v>45</v>
      </c>
      <c r="D9" s="2">
        <v>56</v>
      </c>
      <c r="E9" s="15">
        <f t="shared" si="0"/>
        <v>59</v>
      </c>
      <c r="F9" s="14" t="str">
        <f t="shared" si="1"/>
        <v>F</v>
      </c>
    </row>
    <row r="10" spans="1:6" x14ac:dyDescent="0.3">
      <c r="A10" s="2" t="s">
        <v>47</v>
      </c>
      <c r="B10" s="2">
        <v>45</v>
      </c>
      <c r="C10" s="2">
        <v>77</v>
      </c>
      <c r="D10" s="2">
        <v>55</v>
      </c>
      <c r="E10" s="15">
        <f t="shared" si="0"/>
        <v>59</v>
      </c>
      <c r="F10" s="14" t="str">
        <f t="shared" si="1"/>
        <v>F</v>
      </c>
    </row>
    <row r="11" spans="1:6" x14ac:dyDescent="0.3">
      <c r="A11" s="2" t="s">
        <v>48</v>
      </c>
      <c r="B11" s="2">
        <v>88</v>
      </c>
      <c r="C11" s="2">
        <v>98</v>
      </c>
      <c r="D11" s="2">
        <v>88</v>
      </c>
      <c r="E11" s="15">
        <f t="shared" si="0"/>
        <v>91.333333333333329</v>
      </c>
      <c r="F11" s="14" t="str">
        <f t="shared" si="1"/>
        <v>A</v>
      </c>
    </row>
    <row r="12" spans="1:6" x14ac:dyDescent="0.3">
      <c r="A12" s="2" t="s">
        <v>49</v>
      </c>
      <c r="B12" s="2">
        <v>56</v>
      </c>
      <c r="C12" s="2">
        <v>76</v>
      </c>
      <c r="D12" s="2">
        <v>45</v>
      </c>
      <c r="E12" s="15">
        <f t="shared" si="0"/>
        <v>59</v>
      </c>
      <c r="F12" s="14" t="str">
        <f t="shared" si="1"/>
        <v>F</v>
      </c>
    </row>
    <row r="13" spans="1:6" x14ac:dyDescent="0.3">
      <c r="A13" s="2" t="s">
        <v>50</v>
      </c>
      <c r="B13" s="2">
        <v>55</v>
      </c>
      <c r="C13" s="2">
        <v>45</v>
      </c>
      <c r="D13" s="2">
        <v>77</v>
      </c>
      <c r="E13" s="15">
        <f t="shared" si="0"/>
        <v>59</v>
      </c>
      <c r="F13" s="14" t="str">
        <f t="shared" si="1"/>
        <v>F</v>
      </c>
    </row>
    <row r="14" spans="1:6" x14ac:dyDescent="0.3">
      <c r="A14" s="2" t="s">
        <v>51</v>
      </c>
      <c r="B14" s="2">
        <v>87</v>
      </c>
      <c r="C14" s="2">
        <v>54</v>
      </c>
      <c r="D14" s="2">
        <v>63</v>
      </c>
      <c r="E14" s="15">
        <f t="shared" si="0"/>
        <v>68</v>
      </c>
      <c r="F14" s="14" t="str">
        <f t="shared" si="1"/>
        <v>D</v>
      </c>
    </row>
    <row r="15" spans="1:6" x14ac:dyDescent="0.3">
      <c r="A15" s="2" t="s">
        <v>52</v>
      </c>
      <c r="B15" s="2">
        <v>67</v>
      </c>
      <c r="C15" s="2">
        <v>45</v>
      </c>
      <c r="D15" s="2">
        <v>62</v>
      </c>
      <c r="E15" s="15">
        <f t="shared" si="0"/>
        <v>58</v>
      </c>
      <c r="F15" s="14" t="str">
        <f t="shared" si="1"/>
        <v>F</v>
      </c>
    </row>
    <row r="16" spans="1:6" x14ac:dyDescent="0.3">
      <c r="A16" s="2" t="s">
        <v>53</v>
      </c>
      <c r="B16" s="2">
        <v>54</v>
      </c>
      <c r="C16" s="2">
        <v>43</v>
      </c>
      <c r="D16" s="2">
        <v>61</v>
      </c>
      <c r="E16" s="15">
        <f t="shared" si="0"/>
        <v>52.666666666666664</v>
      </c>
      <c r="F16" s="14" t="str">
        <f t="shared" si="1"/>
        <v>F</v>
      </c>
    </row>
    <row r="17" spans="1:6" x14ac:dyDescent="0.3">
      <c r="A17" s="2" t="s">
        <v>54</v>
      </c>
      <c r="B17" s="2">
        <v>45</v>
      </c>
      <c r="C17" s="2">
        <v>43</v>
      </c>
      <c r="D17" s="2">
        <v>39</v>
      </c>
      <c r="E17" s="15">
        <f t="shared" si="0"/>
        <v>42.333333333333336</v>
      </c>
      <c r="F17" s="14" t="str">
        <f t="shared" si="1"/>
        <v>F</v>
      </c>
    </row>
    <row r="18" spans="1:6" x14ac:dyDescent="0.3">
      <c r="A18" s="2" t="s">
        <v>55</v>
      </c>
      <c r="B18" s="2">
        <v>36</v>
      </c>
      <c r="C18" s="2">
        <v>56</v>
      </c>
      <c r="D18" s="2">
        <v>83</v>
      </c>
      <c r="E18" s="15">
        <f t="shared" si="0"/>
        <v>58.333333333333336</v>
      </c>
      <c r="F18" s="14" t="str">
        <f t="shared" si="1"/>
        <v>F</v>
      </c>
    </row>
    <row r="19" spans="1:6" x14ac:dyDescent="0.3">
      <c r="A19" s="2" t="s">
        <v>56</v>
      </c>
      <c r="B19" s="2">
        <v>46</v>
      </c>
      <c r="C19" s="2">
        <v>65</v>
      </c>
      <c r="D19" s="2">
        <v>74</v>
      </c>
      <c r="E19" s="15">
        <f t="shared" si="0"/>
        <v>61.666666666666664</v>
      </c>
      <c r="F19" s="14" t="str">
        <f t="shared" si="1"/>
        <v>D</v>
      </c>
    </row>
    <row r="20" spans="1:6" x14ac:dyDescent="0.3">
      <c r="A20" s="2" t="s">
        <v>57</v>
      </c>
      <c r="B20" s="2">
        <v>63</v>
      </c>
      <c r="C20" s="2">
        <v>76</v>
      </c>
      <c r="D20" s="2">
        <v>57</v>
      </c>
      <c r="E20" s="15">
        <f t="shared" si="0"/>
        <v>65.333333333333329</v>
      </c>
      <c r="F20" s="14" t="str">
        <f t="shared" si="1"/>
        <v>D</v>
      </c>
    </row>
    <row r="21" spans="1:6" x14ac:dyDescent="0.3">
      <c r="A21" s="2" t="s">
        <v>58</v>
      </c>
      <c r="B21" s="2">
        <v>62</v>
      </c>
      <c r="C21" s="2">
        <v>65</v>
      </c>
      <c r="D21" s="2">
        <v>87</v>
      </c>
      <c r="E21" s="15">
        <f t="shared" si="0"/>
        <v>71.333333333333329</v>
      </c>
      <c r="F21" s="14" t="str">
        <f t="shared" si="1"/>
        <v>C</v>
      </c>
    </row>
    <row r="22" spans="1:6" x14ac:dyDescent="0.3">
      <c r="A22" s="2" t="s">
        <v>59</v>
      </c>
      <c r="B22" s="2">
        <v>37</v>
      </c>
      <c r="C22" s="2">
        <v>68</v>
      </c>
      <c r="D22" s="2">
        <v>73</v>
      </c>
      <c r="E22" s="15">
        <f t="shared" si="0"/>
        <v>59.333333333333336</v>
      </c>
      <c r="F22" s="14" t="str">
        <f t="shared" si="1"/>
        <v>F</v>
      </c>
    </row>
    <row r="23" spans="1:6" x14ac:dyDescent="0.3">
      <c r="A23" s="2" t="s">
        <v>60</v>
      </c>
      <c r="B23" s="2">
        <v>74</v>
      </c>
      <c r="C23" s="2">
        <v>76</v>
      </c>
      <c r="D23" s="2">
        <v>88</v>
      </c>
      <c r="E23" s="15">
        <f t="shared" si="0"/>
        <v>79.333333333333329</v>
      </c>
      <c r="F23" s="14" t="str">
        <f t="shared" si="1"/>
        <v>C</v>
      </c>
    </row>
    <row r="24" spans="1:6" x14ac:dyDescent="0.3">
      <c r="A24" s="2" t="s">
        <v>61</v>
      </c>
      <c r="B24" s="2">
        <v>87</v>
      </c>
      <c r="C24" s="2">
        <v>65</v>
      </c>
      <c r="D24" s="2">
        <v>99</v>
      </c>
      <c r="E24" s="15">
        <f t="shared" si="0"/>
        <v>83.666666666666671</v>
      </c>
      <c r="F24" s="14" t="str">
        <f t="shared" si="1"/>
        <v>B</v>
      </c>
    </row>
    <row r="25" spans="1:6" x14ac:dyDescent="0.3">
      <c r="A25" s="2" t="s">
        <v>62</v>
      </c>
      <c r="B25" s="2">
        <v>76</v>
      </c>
      <c r="C25" s="2">
        <v>54</v>
      </c>
      <c r="D25" s="2">
        <v>49</v>
      </c>
      <c r="E25" s="15">
        <f t="shared" si="0"/>
        <v>59.666666666666664</v>
      </c>
      <c r="F25" s="14" t="str">
        <f t="shared" si="1"/>
        <v>F</v>
      </c>
    </row>
    <row r="26" spans="1:6" x14ac:dyDescent="0.3">
      <c r="A26" s="2" t="s">
        <v>63</v>
      </c>
      <c r="B26" s="2">
        <v>65</v>
      </c>
      <c r="C26" s="2">
        <v>47</v>
      </c>
      <c r="D26" s="2">
        <v>56</v>
      </c>
      <c r="E26" s="15">
        <f t="shared" si="0"/>
        <v>56</v>
      </c>
      <c r="F26" s="14" t="str">
        <f t="shared" si="1"/>
        <v>F</v>
      </c>
    </row>
    <row r="27" spans="1:6" x14ac:dyDescent="0.3">
      <c r="A27" s="2" t="s">
        <v>64</v>
      </c>
      <c r="B27" s="2">
        <v>56</v>
      </c>
      <c r="C27" s="2">
        <v>68</v>
      </c>
      <c r="D27" s="2">
        <v>73</v>
      </c>
      <c r="E27" s="15">
        <f t="shared" si="0"/>
        <v>65.666666666666671</v>
      </c>
      <c r="F27" s="14" t="str">
        <f t="shared" si="1"/>
        <v>D</v>
      </c>
    </row>
    <row r="28" spans="1:6" x14ac:dyDescent="0.3">
      <c r="D28" s="2">
        <v>70</v>
      </c>
      <c r="E28" s="15">
        <f t="shared" si="0"/>
        <v>70</v>
      </c>
      <c r="F28" s="14" t="str">
        <f t="shared" si="1"/>
        <v>C</v>
      </c>
    </row>
    <row r="29" spans="1:6" x14ac:dyDescent="0.3">
      <c r="E29" s="15" t="e">
        <f t="shared" si="0"/>
        <v>#DIV/0!</v>
      </c>
      <c r="F29" s="14" t="e">
        <f t="shared" si="1"/>
        <v>#DIV/0!</v>
      </c>
    </row>
    <row r="30" spans="1:6" x14ac:dyDescent="0.3">
      <c r="E30" s="15" t="e">
        <f t="shared" si="0"/>
        <v>#DIV/0!</v>
      </c>
      <c r="F30" s="14" t="e">
        <f t="shared" si="1"/>
        <v>#DIV/0!</v>
      </c>
    </row>
    <row r="31" spans="1:6" x14ac:dyDescent="0.3">
      <c r="E31" s="15" t="e">
        <f t="shared" si="0"/>
        <v>#DIV/0!</v>
      </c>
      <c r="F31" s="14" t="e">
        <f t="shared" si="1"/>
        <v>#DIV/0!</v>
      </c>
    </row>
    <row r="32" spans="1:6" x14ac:dyDescent="0.3">
      <c r="E32" s="15" t="e">
        <f t="shared" si="0"/>
        <v>#DIV/0!</v>
      </c>
      <c r="F32" s="14" t="e">
        <f t="shared" si="1"/>
        <v>#DIV/0!</v>
      </c>
    </row>
    <row r="33" spans="5:6" x14ac:dyDescent="0.3">
      <c r="E33" s="15" t="e">
        <f t="shared" si="0"/>
        <v>#DIV/0!</v>
      </c>
      <c r="F33" s="14" t="e">
        <f t="shared" si="1"/>
        <v>#DIV/0!</v>
      </c>
    </row>
    <row r="34" spans="5:6" x14ac:dyDescent="0.3">
      <c r="E34" s="15" t="e">
        <f t="shared" si="0"/>
        <v>#DIV/0!</v>
      </c>
      <c r="F34" s="14" t="e">
        <f t="shared" si="1"/>
        <v>#DIV/0!</v>
      </c>
    </row>
    <row r="35" spans="5:6" x14ac:dyDescent="0.3">
      <c r="E35" s="15" t="e">
        <f t="shared" si="0"/>
        <v>#DIV/0!</v>
      </c>
      <c r="F35" s="14" t="e">
        <f t="shared" si="1"/>
        <v>#DIV/0!</v>
      </c>
    </row>
    <row r="36" spans="5:6" x14ac:dyDescent="0.3">
      <c r="E36" s="15" t="e">
        <f t="shared" si="0"/>
        <v>#DIV/0!</v>
      </c>
      <c r="F36" s="14" t="e">
        <f t="shared" si="1"/>
        <v>#DIV/0!</v>
      </c>
    </row>
    <row r="37" spans="5:6" x14ac:dyDescent="0.3">
      <c r="E37" s="15" t="e">
        <f t="shared" si="0"/>
        <v>#DIV/0!</v>
      </c>
      <c r="F37" s="14" t="e">
        <f t="shared" si="1"/>
        <v>#DIV/0!</v>
      </c>
    </row>
    <row r="38" spans="5:6" x14ac:dyDescent="0.3">
      <c r="E38" s="15" t="e">
        <f t="shared" si="0"/>
        <v>#DIV/0!</v>
      </c>
      <c r="F38" s="14" t="e">
        <f t="shared" si="1"/>
        <v>#DIV/0!</v>
      </c>
    </row>
    <row r="39" spans="5:6" x14ac:dyDescent="0.3">
      <c r="E39" s="15" t="e">
        <f t="shared" si="0"/>
        <v>#DIV/0!</v>
      </c>
      <c r="F39" s="14" t="e">
        <f t="shared" si="1"/>
        <v>#DIV/0!</v>
      </c>
    </row>
    <row r="40" spans="5:6" x14ac:dyDescent="0.3">
      <c r="E40" s="15" t="e">
        <f t="shared" si="0"/>
        <v>#DIV/0!</v>
      </c>
      <c r="F40" s="14" t="e">
        <f t="shared" si="1"/>
        <v>#DIV/0!</v>
      </c>
    </row>
    <row r="41" spans="5:6" x14ac:dyDescent="0.3">
      <c r="E41" s="15" t="e">
        <f t="shared" si="0"/>
        <v>#DIV/0!</v>
      </c>
      <c r="F41" s="14" t="e">
        <f t="shared" si="1"/>
        <v>#DIV/0!</v>
      </c>
    </row>
    <row r="42" spans="5:6" x14ac:dyDescent="0.3">
      <c r="E42" s="15" t="e">
        <f t="shared" si="0"/>
        <v>#DIV/0!</v>
      </c>
      <c r="F42" s="14" t="e">
        <f t="shared" si="1"/>
        <v>#DIV/0!</v>
      </c>
    </row>
    <row r="43" spans="5:6" x14ac:dyDescent="0.3">
      <c r="E43" s="15" t="e">
        <f t="shared" si="0"/>
        <v>#DIV/0!</v>
      </c>
      <c r="F43" s="14" t="e">
        <f t="shared" si="1"/>
        <v>#DIV/0!</v>
      </c>
    </row>
    <row r="44" spans="5:6" x14ac:dyDescent="0.3">
      <c r="E44" s="15" t="e">
        <f t="shared" si="0"/>
        <v>#DIV/0!</v>
      </c>
      <c r="F44" s="14" t="e">
        <f t="shared" si="1"/>
        <v>#DIV/0!</v>
      </c>
    </row>
    <row r="45" spans="5:6" x14ac:dyDescent="0.3">
      <c r="E45" s="15" t="e">
        <f t="shared" si="0"/>
        <v>#DIV/0!</v>
      </c>
      <c r="F45" s="14" t="e">
        <f t="shared" si="1"/>
        <v>#DIV/0!</v>
      </c>
    </row>
    <row r="46" spans="5:6" x14ac:dyDescent="0.3">
      <c r="E46" s="15" t="e">
        <f t="shared" si="0"/>
        <v>#DIV/0!</v>
      </c>
      <c r="F46" s="14" t="e">
        <f t="shared" si="1"/>
        <v>#DIV/0!</v>
      </c>
    </row>
    <row r="47" spans="5:6" x14ac:dyDescent="0.3">
      <c r="E47" s="15" t="e">
        <f t="shared" si="0"/>
        <v>#DIV/0!</v>
      </c>
      <c r="F47" s="14" t="e">
        <f t="shared" si="1"/>
        <v>#DIV/0!</v>
      </c>
    </row>
    <row r="48" spans="5:6" x14ac:dyDescent="0.3">
      <c r="E48" s="15" t="e">
        <f t="shared" si="0"/>
        <v>#DIV/0!</v>
      </c>
      <c r="F48" s="14" t="e">
        <f t="shared" si="1"/>
        <v>#DIV/0!</v>
      </c>
    </row>
    <row r="49" spans="5:6" x14ac:dyDescent="0.3">
      <c r="E49" s="15" t="e">
        <f t="shared" si="0"/>
        <v>#DIV/0!</v>
      </c>
      <c r="F49" s="14" t="e">
        <f t="shared" si="1"/>
        <v>#DIV/0!</v>
      </c>
    </row>
    <row r="50" spans="5:6" x14ac:dyDescent="0.3">
      <c r="E50" s="15" t="e">
        <f t="shared" si="0"/>
        <v>#DIV/0!</v>
      </c>
      <c r="F50" s="14" t="e">
        <f t="shared" si="1"/>
        <v>#DIV/0!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selection activeCell="K9" sqref="K9"/>
    </sheetView>
  </sheetViews>
  <sheetFormatPr defaultRowHeight="14.4" x14ac:dyDescent="0.3"/>
  <cols>
    <col min="1" max="5" width="18" customWidth="1"/>
  </cols>
  <sheetData>
    <row r="1" spans="1:5" ht="32.4" customHeight="1" x14ac:dyDescent="0.3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</row>
    <row r="2" spans="1:5" x14ac:dyDescent="0.3">
      <c r="A2" s="18">
        <v>46266</v>
      </c>
      <c r="B2" s="18">
        <v>46274</v>
      </c>
      <c r="C2" s="21">
        <f>B2-A2</f>
        <v>8</v>
      </c>
      <c r="D2" s="22">
        <f ca="1">TODAY()</f>
        <v>46298</v>
      </c>
      <c r="E2" s="23">
        <f ca="1">NOW()</f>
        <v>46298.629720833334</v>
      </c>
    </row>
    <row r="3" spans="1:5" x14ac:dyDescent="0.3">
      <c r="A3" s="18"/>
      <c r="B3" s="18"/>
      <c r="C3" s="12">
        <f t="shared" ref="C3:C20" si="0">B3-A3</f>
        <v>0</v>
      </c>
      <c r="D3" s="18">
        <f t="shared" ref="D3:D20" ca="1" si="1">TODAY()</f>
        <v>46298</v>
      </c>
      <c r="E3" s="20">
        <f t="shared" ref="E3:E20" ca="1" si="2">NOW()</f>
        <v>46298.629720833334</v>
      </c>
    </row>
    <row r="4" spans="1:5" x14ac:dyDescent="0.3">
      <c r="A4" s="18"/>
      <c r="B4" s="18"/>
      <c r="C4" s="12">
        <f t="shared" si="0"/>
        <v>0</v>
      </c>
      <c r="D4" s="18">
        <f t="shared" ca="1" si="1"/>
        <v>46298</v>
      </c>
      <c r="E4" s="20">
        <f t="shared" ca="1" si="2"/>
        <v>46298.629720833334</v>
      </c>
    </row>
    <row r="5" spans="1:5" x14ac:dyDescent="0.3">
      <c r="A5" s="18"/>
      <c r="B5" s="18"/>
      <c r="C5" s="12">
        <f t="shared" si="0"/>
        <v>0</v>
      </c>
      <c r="D5" s="18">
        <f t="shared" ca="1" si="1"/>
        <v>46298</v>
      </c>
      <c r="E5" s="20">
        <f t="shared" ca="1" si="2"/>
        <v>46298.629720833334</v>
      </c>
    </row>
    <row r="6" spans="1:5" x14ac:dyDescent="0.3">
      <c r="A6" s="18"/>
      <c r="B6" s="18"/>
      <c r="C6" s="12">
        <f t="shared" si="0"/>
        <v>0</v>
      </c>
      <c r="D6" s="18">
        <f t="shared" ca="1" si="1"/>
        <v>46298</v>
      </c>
      <c r="E6" s="20">
        <f t="shared" ca="1" si="2"/>
        <v>46298.629720833334</v>
      </c>
    </row>
    <row r="7" spans="1:5" x14ac:dyDescent="0.3">
      <c r="A7" s="18"/>
      <c r="B7" s="18"/>
      <c r="C7" s="12">
        <f t="shared" si="0"/>
        <v>0</v>
      </c>
      <c r="D7" s="18">
        <f t="shared" ca="1" si="1"/>
        <v>46298</v>
      </c>
      <c r="E7" s="20">
        <f t="shared" ca="1" si="2"/>
        <v>46298.629720833334</v>
      </c>
    </row>
    <row r="8" spans="1:5" x14ac:dyDescent="0.3">
      <c r="A8" s="18"/>
      <c r="B8" s="18"/>
      <c r="C8" s="12">
        <f t="shared" si="0"/>
        <v>0</v>
      </c>
      <c r="D8" s="18">
        <f t="shared" ca="1" si="1"/>
        <v>46298</v>
      </c>
      <c r="E8" s="20">
        <f t="shared" ca="1" si="2"/>
        <v>46298.629720833334</v>
      </c>
    </row>
    <row r="9" spans="1:5" x14ac:dyDescent="0.3">
      <c r="A9" s="18"/>
      <c r="B9" s="18"/>
      <c r="C9" s="12">
        <f t="shared" si="0"/>
        <v>0</v>
      </c>
      <c r="D9" s="18">
        <f t="shared" ca="1" si="1"/>
        <v>46298</v>
      </c>
      <c r="E9" s="20">
        <f t="shared" ca="1" si="2"/>
        <v>46298.629720833334</v>
      </c>
    </row>
    <row r="10" spans="1:5" x14ac:dyDescent="0.3">
      <c r="A10" s="18"/>
      <c r="B10" s="18"/>
      <c r="C10" s="12">
        <f t="shared" si="0"/>
        <v>0</v>
      </c>
      <c r="D10" s="18">
        <f t="shared" ca="1" si="1"/>
        <v>46298</v>
      </c>
      <c r="E10" s="20">
        <f t="shared" ca="1" si="2"/>
        <v>46298.629720833334</v>
      </c>
    </row>
    <row r="11" spans="1:5" x14ac:dyDescent="0.3">
      <c r="A11" s="18"/>
      <c r="B11" s="18"/>
      <c r="C11" s="12">
        <f t="shared" si="0"/>
        <v>0</v>
      </c>
      <c r="D11" s="18">
        <f t="shared" ca="1" si="1"/>
        <v>46298</v>
      </c>
      <c r="E11" s="20">
        <f t="shared" ca="1" si="2"/>
        <v>46298.629720833334</v>
      </c>
    </row>
    <row r="12" spans="1:5" x14ac:dyDescent="0.3">
      <c r="A12" s="18"/>
      <c r="B12" s="18"/>
      <c r="C12" s="12">
        <f t="shared" si="0"/>
        <v>0</v>
      </c>
      <c r="D12" s="18">
        <f t="shared" ca="1" si="1"/>
        <v>46298</v>
      </c>
      <c r="E12" s="20">
        <f t="shared" ca="1" si="2"/>
        <v>46298.629720833334</v>
      </c>
    </row>
    <row r="13" spans="1:5" x14ac:dyDescent="0.3">
      <c r="A13" s="18"/>
      <c r="B13" s="18"/>
      <c r="C13" s="12">
        <f t="shared" si="0"/>
        <v>0</v>
      </c>
      <c r="D13" s="18">
        <f t="shared" ca="1" si="1"/>
        <v>46298</v>
      </c>
      <c r="E13" s="20">
        <f t="shared" ca="1" si="2"/>
        <v>46298.629720833334</v>
      </c>
    </row>
    <row r="14" spans="1:5" x14ac:dyDescent="0.3">
      <c r="A14" s="18"/>
      <c r="B14" s="18"/>
      <c r="C14" s="12">
        <f t="shared" si="0"/>
        <v>0</v>
      </c>
      <c r="D14" s="18">
        <f t="shared" ca="1" si="1"/>
        <v>46298</v>
      </c>
      <c r="E14" s="20">
        <f t="shared" ca="1" si="2"/>
        <v>46298.629720833334</v>
      </c>
    </row>
    <row r="15" spans="1:5" x14ac:dyDescent="0.3">
      <c r="A15" s="18"/>
      <c r="B15" s="18"/>
      <c r="C15" s="12">
        <f t="shared" si="0"/>
        <v>0</v>
      </c>
      <c r="D15" s="18">
        <f t="shared" ca="1" si="1"/>
        <v>46298</v>
      </c>
      <c r="E15" s="20">
        <f t="shared" ca="1" si="2"/>
        <v>46298.629720833334</v>
      </c>
    </row>
    <row r="16" spans="1:5" x14ac:dyDescent="0.3">
      <c r="A16" s="18"/>
      <c r="B16" s="18"/>
      <c r="C16" s="12">
        <f t="shared" si="0"/>
        <v>0</v>
      </c>
      <c r="D16" s="18">
        <f t="shared" ca="1" si="1"/>
        <v>46298</v>
      </c>
      <c r="E16" s="20">
        <f t="shared" ca="1" si="2"/>
        <v>46298.629720833334</v>
      </c>
    </row>
    <row r="17" spans="1:5" x14ac:dyDescent="0.3">
      <c r="A17" s="18"/>
      <c r="B17" s="18"/>
      <c r="C17" s="12">
        <f t="shared" si="0"/>
        <v>0</v>
      </c>
      <c r="D17" s="18">
        <f t="shared" ca="1" si="1"/>
        <v>46298</v>
      </c>
      <c r="E17" s="20">
        <f t="shared" ca="1" si="2"/>
        <v>46298.629720833334</v>
      </c>
    </row>
    <row r="18" spans="1:5" x14ac:dyDescent="0.3">
      <c r="A18" s="18"/>
      <c r="B18" s="18"/>
      <c r="C18" s="12">
        <f t="shared" si="0"/>
        <v>0</v>
      </c>
      <c r="D18" s="18">
        <f t="shared" ca="1" si="1"/>
        <v>46298</v>
      </c>
      <c r="E18" s="20">
        <f t="shared" ca="1" si="2"/>
        <v>46298.629720833334</v>
      </c>
    </row>
    <row r="19" spans="1:5" x14ac:dyDescent="0.3">
      <c r="A19" s="18"/>
      <c r="B19" s="18"/>
      <c r="C19" s="12">
        <f t="shared" si="0"/>
        <v>0</v>
      </c>
      <c r="D19" s="18">
        <f t="shared" ca="1" si="1"/>
        <v>46298</v>
      </c>
      <c r="E19" s="20">
        <f t="shared" ca="1" si="2"/>
        <v>46298.629720833334</v>
      </c>
    </row>
    <row r="20" spans="1:5" x14ac:dyDescent="0.3">
      <c r="A20" s="18"/>
      <c r="B20" s="18"/>
      <c r="C20" s="12">
        <f t="shared" si="0"/>
        <v>0</v>
      </c>
      <c r="D20" s="18">
        <f t="shared" ca="1" si="1"/>
        <v>46298</v>
      </c>
      <c r="E20" s="20">
        <f t="shared" ca="1" si="2"/>
        <v>46298.629720833334</v>
      </c>
    </row>
    <row r="21" spans="1:5" x14ac:dyDescent="0.3">
      <c r="A21" s="18"/>
      <c r="B21" s="18"/>
      <c r="C21" s="12"/>
      <c r="D21" s="18"/>
      <c r="E21" s="12"/>
    </row>
    <row r="22" spans="1:5" x14ac:dyDescent="0.3">
      <c r="A22" s="18"/>
      <c r="B22" s="18"/>
      <c r="C22" s="12"/>
      <c r="D22" s="18"/>
      <c r="E22" s="12"/>
    </row>
    <row r="23" spans="1:5" x14ac:dyDescent="0.3">
      <c r="A23" s="18"/>
      <c r="B23" s="18"/>
      <c r="C23" s="12"/>
      <c r="D23" s="18"/>
      <c r="E23" s="12"/>
    </row>
    <row r="24" spans="1:5" x14ac:dyDescent="0.3">
      <c r="A24" s="18"/>
      <c r="B24" s="18"/>
      <c r="C24" s="12"/>
      <c r="D24" s="18"/>
      <c r="E24" s="12"/>
    </row>
    <row r="25" spans="1:5" x14ac:dyDescent="0.3">
      <c r="D25" s="1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"/>
  <sheetViews>
    <sheetView workbookViewId="0">
      <selection sqref="A1:F1"/>
    </sheetView>
  </sheetViews>
  <sheetFormatPr defaultRowHeight="14.4" x14ac:dyDescent="0.3"/>
  <cols>
    <col min="1" max="6" width="18" customWidth="1"/>
  </cols>
  <sheetData>
    <row r="1" spans="1:6" ht="24.6" customHeight="1" x14ac:dyDescent="0.3">
      <c r="A1" s="24" t="s">
        <v>30</v>
      </c>
      <c r="B1" s="24" t="s">
        <v>0</v>
      </c>
      <c r="C1" s="24" t="s">
        <v>31</v>
      </c>
      <c r="D1" s="24" t="s">
        <v>32</v>
      </c>
      <c r="E1" s="24" t="s">
        <v>33</v>
      </c>
      <c r="F1" s="24" t="s">
        <v>34</v>
      </c>
    </row>
    <row r="2" spans="1:6" x14ac:dyDescent="0.3">
      <c r="A2" s="2" t="s">
        <v>65</v>
      </c>
      <c r="B2" s="2" t="s">
        <v>96</v>
      </c>
      <c r="C2" s="25">
        <v>25000</v>
      </c>
      <c r="D2" s="25">
        <v>3500</v>
      </c>
      <c r="E2" s="25">
        <v>1500</v>
      </c>
      <c r="F2" s="26">
        <f>C2+D2-E2</f>
        <v>27000</v>
      </c>
    </row>
    <row r="3" spans="1:6" x14ac:dyDescent="0.3">
      <c r="A3" s="2" t="s">
        <v>66</v>
      </c>
      <c r="B3" s="2" t="s">
        <v>91</v>
      </c>
      <c r="C3" s="25">
        <v>23000</v>
      </c>
      <c r="D3" s="25">
        <v>3500</v>
      </c>
      <c r="E3" s="25">
        <v>1250</v>
      </c>
      <c r="F3" s="25">
        <f t="shared" ref="F3:F33" si="0">C3+D3-E3</f>
        <v>25250</v>
      </c>
    </row>
    <row r="4" spans="1:6" x14ac:dyDescent="0.3">
      <c r="A4" s="2" t="s">
        <v>67</v>
      </c>
      <c r="B4" s="2" t="s">
        <v>92</v>
      </c>
      <c r="C4" s="25">
        <v>32000</v>
      </c>
      <c r="D4" s="25">
        <v>3500</v>
      </c>
      <c r="E4" s="25">
        <v>3200</v>
      </c>
      <c r="F4" s="25">
        <f t="shared" si="0"/>
        <v>32300</v>
      </c>
    </row>
    <row r="5" spans="1:6" x14ac:dyDescent="0.3">
      <c r="A5" s="2" t="s">
        <v>68</v>
      </c>
      <c r="B5" s="2" t="s">
        <v>93</v>
      </c>
      <c r="C5" s="25">
        <v>19000</v>
      </c>
      <c r="D5" s="25">
        <v>3500</v>
      </c>
      <c r="E5" s="25">
        <v>2300</v>
      </c>
      <c r="F5" s="25">
        <f t="shared" si="0"/>
        <v>20200</v>
      </c>
    </row>
    <row r="6" spans="1:6" x14ac:dyDescent="0.3">
      <c r="A6" s="2" t="s">
        <v>69</v>
      </c>
      <c r="B6" s="2" t="s">
        <v>94</v>
      </c>
      <c r="C6" s="25">
        <v>20000</v>
      </c>
      <c r="D6" s="25">
        <v>3500</v>
      </c>
      <c r="E6" s="25">
        <v>3400</v>
      </c>
      <c r="F6" s="25">
        <f t="shared" si="0"/>
        <v>20100</v>
      </c>
    </row>
    <row r="7" spans="1:6" x14ac:dyDescent="0.3">
      <c r="A7" s="2" t="s">
        <v>70</v>
      </c>
      <c r="B7" s="2" t="s">
        <v>95</v>
      </c>
      <c r="C7" s="25">
        <v>210000</v>
      </c>
      <c r="D7" s="25">
        <v>3500</v>
      </c>
      <c r="E7" s="25">
        <v>2100</v>
      </c>
      <c r="F7" s="25">
        <f t="shared" si="0"/>
        <v>211400</v>
      </c>
    </row>
    <row r="8" spans="1:6" x14ac:dyDescent="0.3">
      <c r="A8" s="2" t="s">
        <v>71</v>
      </c>
      <c r="B8" s="2" t="s">
        <v>97</v>
      </c>
      <c r="C8" s="25">
        <v>33000</v>
      </c>
      <c r="D8" s="25">
        <v>3500</v>
      </c>
      <c r="E8" s="25">
        <v>2700</v>
      </c>
      <c r="F8" s="25">
        <f t="shared" si="0"/>
        <v>33800</v>
      </c>
    </row>
    <row r="9" spans="1:6" x14ac:dyDescent="0.3">
      <c r="A9" s="2" t="s">
        <v>72</v>
      </c>
      <c r="B9" s="2" t="s">
        <v>98</v>
      </c>
      <c r="C9" s="25">
        <v>35000</v>
      </c>
      <c r="D9" s="25">
        <v>3500</v>
      </c>
      <c r="E9" s="25">
        <v>1500</v>
      </c>
      <c r="F9" s="25">
        <f t="shared" si="0"/>
        <v>37000</v>
      </c>
    </row>
    <row r="10" spans="1:6" x14ac:dyDescent="0.3">
      <c r="A10" s="2" t="s">
        <v>73</v>
      </c>
      <c r="B10" s="2" t="s">
        <v>99</v>
      </c>
      <c r="C10" s="25">
        <v>36000</v>
      </c>
      <c r="D10" s="25">
        <v>3500</v>
      </c>
      <c r="E10" s="25">
        <v>1250</v>
      </c>
      <c r="F10" s="25">
        <f t="shared" si="0"/>
        <v>38250</v>
      </c>
    </row>
    <row r="11" spans="1:6" x14ac:dyDescent="0.3">
      <c r="A11" s="2" t="s">
        <v>74</v>
      </c>
      <c r="B11" s="2" t="s">
        <v>100</v>
      </c>
      <c r="C11" s="25">
        <v>36500</v>
      </c>
      <c r="D11" s="25">
        <v>3500</v>
      </c>
      <c r="E11" s="25">
        <v>3200</v>
      </c>
      <c r="F11" s="25">
        <f t="shared" si="0"/>
        <v>36800</v>
      </c>
    </row>
    <row r="12" spans="1:6" x14ac:dyDescent="0.3">
      <c r="A12" s="2" t="s">
        <v>75</v>
      </c>
      <c r="B12" s="2" t="s">
        <v>101</v>
      </c>
      <c r="C12" s="25">
        <v>34590</v>
      </c>
      <c r="D12" s="25">
        <v>3500</v>
      </c>
      <c r="E12" s="25">
        <v>2300</v>
      </c>
      <c r="F12" s="25">
        <f t="shared" si="0"/>
        <v>35790</v>
      </c>
    </row>
    <row r="13" spans="1:6" x14ac:dyDescent="0.3">
      <c r="A13" s="2" t="s">
        <v>76</v>
      </c>
      <c r="B13" s="2" t="s">
        <v>102</v>
      </c>
      <c r="C13" s="25">
        <v>23500</v>
      </c>
      <c r="D13" s="25">
        <v>3500</v>
      </c>
      <c r="E13" s="25">
        <v>3400</v>
      </c>
      <c r="F13" s="25">
        <f t="shared" si="0"/>
        <v>23600</v>
      </c>
    </row>
    <row r="14" spans="1:6" x14ac:dyDescent="0.3">
      <c r="A14" s="2" t="s">
        <v>77</v>
      </c>
      <c r="B14" s="2" t="s">
        <v>103</v>
      </c>
      <c r="C14" s="25">
        <v>20500</v>
      </c>
      <c r="D14" s="25">
        <v>3500</v>
      </c>
      <c r="E14" s="25">
        <v>2100</v>
      </c>
      <c r="F14" s="25">
        <f t="shared" si="0"/>
        <v>21900</v>
      </c>
    </row>
    <row r="15" spans="1:6" x14ac:dyDescent="0.3">
      <c r="A15" s="2" t="s">
        <v>78</v>
      </c>
      <c r="B15" s="2" t="s">
        <v>104</v>
      </c>
      <c r="C15" s="25">
        <v>21500</v>
      </c>
      <c r="D15" s="25">
        <v>3500</v>
      </c>
      <c r="E15" s="25">
        <v>2700</v>
      </c>
      <c r="F15" s="25">
        <f t="shared" si="0"/>
        <v>22300</v>
      </c>
    </row>
    <row r="16" spans="1:6" x14ac:dyDescent="0.3">
      <c r="A16" s="2" t="s">
        <v>79</v>
      </c>
      <c r="B16" s="2" t="s">
        <v>105</v>
      </c>
      <c r="C16" s="25">
        <v>15000</v>
      </c>
      <c r="D16" s="25">
        <v>3500</v>
      </c>
      <c r="E16" s="25">
        <v>1500</v>
      </c>
      <c r="F16" s="25">
        <f t="shared" si="0"/>
        <v>17000</v>
      </c>
    </row>
    <row r="17" spans="1:6" x14ac:dyDescent="0.3">
      <c r="A17" s="2" t="s">
        <v>80</v>
      </c>
      <c r="B17" s="2" t="s">
        <v>106</v>
      </c>
      <c r="C17" s="25">
        <v>17000</v>
      </c>
      <c r="D17" s="25">
        <v>3500</v>
      </c>
      <c r="E17" s="25">
        <v>1250</v>
      </c>
      <c r="F17" s="25">
        <f t="shared" si="0"/>
        <v>19250</v>
      </c>
    </row>
    <row r="18" spans="1:6" x14ac:dyDescent="0.3">
      <c r="A18" s="2" t="s">
        <v>81</v>
      </c>
      <c r="B18" s="2" t="s">
        <v>107</v>
      </c>
      <c r="C18" s="25">
        <v>18000</v>
      </c>
      <c r="D18" s="25">
        <v>3500</v>
      </c>
      <c r="E18" s="25">
        <v>3200</v>
      </c>
      <c r="F18" s="25">
        <f t="shared" si="0"/>
        <v>18300</v>
      </c>
    </row>
    <row r="19" spans="1:6" x14ac:dyDescent="0.3">
      <c r="A19" s="2" t="s">
        <v>82</v>
      </c>
      <c r="B19" s="2" t="s">
        <v>108</v>
      </c>
      <c r="C19" s="25">
        <v>19000</v>
      </c>
      <c r="D19" s="25">
        <v>3500</v>
      </c>
      <c r="E19" s="25">
        <v>2300</v>
      </c>
      <c r="F19" s="25">
        <f t="shared" si="0"/>
        <v>20200</v>
      </c>
    </row>
    <row r="20" spans="1:6" x14ac:dyDescent="0.3">
      <c r="A20" s="2" t="s">
        <v>83</v>
      </c>
      <c r="B20" s="2" t="s">
        <v>109</v>
      </c>
      <c r="C20" s="25">
        <v>20500</v>
      </c>
      <c r="D20" s="25">
        <v>3500</v>
      </c>
      <c r="E20" s="25">
        <v>3400</v>
      </c>
      <c r="F20" s="25">
        <f t="shared" si="0"/>
        <v>20600</v>
      </c>
    </row>
    <row r="21" spans="1:6" x14ac:dyDescent="0.3">
      <c r="A21" s="2" t="s">
        <v>84</v>
      </c>
      <c r="B21" s="2" t="s">
        <v>110</v>
      </c>
      <c r="C21" s="25">
        <v>22000</v>
      </c>
      <c r="D21" s="25">
        <v>3500</v>
      </c>
      <c r="E21" s="25">
        <v>2100</v>
      </c>
      <c r="F21" s="25">
        <f t="shared" si="0"/>
        <v>23400</v>
      </c>
    </row>
    <row r="22" spans="1:6" x14ac:dyDescent="0.3">
      <c r="A22" s="2" t="s">
        <v>85</v>
      </c>
      <c r="B22" s="2" t="s">
        <v>111</v>
      </c>
      <c r="C22" s="25">
        <v>33500</v>
      </c>
      <c r="D22" s="25">
        <v>3500</v>
      </c>
      <c r="E22" s="25">
        <v>2700</v>
      </c>
      <c r="F22" s="25">
        <f t="shared" si="0"/>
        <v>34300</v>
      </c>
    </row>
    <row r="23" spans="1:6" x14ac:dyDescent="0.3">
      <c r="A23" s="2" t="s">
        <v>86</v>
      </c>
      <c r="B23" s="2" t="s">
        <v>112</v>
      </c>
      <c r="C23" s="25">
        <v>44000</v>
      </c>
      <c r="D23" s="25">
        <v>3500</v>
      </c>
      <c r="E23" s="25">
        <v>1500</v>
      </c>
      <c r="F23" s="25">
        <f t="shared" si="0"/>
        <v>46000</v>
      </c>
    </row>
    <row r="24" spans="1:6" x14ac:dyDescent="0.3">
      <c r="A24" s="2" t="s">
        <v>87</v>
      </c>
      <c r="B24" s="2" t="s">
        <v>113</v>
      </c>
      <c r="C24" s="25">
        <v>45000</v>
      </c>
      <c r="D24" s="25">
        <v>3500</v>
      </c>
      <c r="E24" s="25">
        <v>1250</v>
      </c>
      <c r="F24" s="25">
        <f t="shared" si="0"/>
        <v>47250</v>
      </c>
    </row>
    <row r="25" spans="1:6" x14ac:dyDescent="0.3">
      <c r="A25" s="2" t="s">
        <v>88</v>
      </c>
      <c r="B25" s="2" t="s">
        <v>114</v>
      </c>
      <c r="C25" s="25">
        <v>46000</v>
      </c>
      <c r="D25" s="25">
        <v>3500</v>
      </c>
      <c r="E25" s="25">
        <v>3200</v>
      </c>
      <c r="F25" s="25">
        <f t="shared" si="0"/>
        <v>46300</v>
      </c>
    </row>
    <row r="26" spans="1:6" x14ac:dyDescent="0.3">
      <c r="A26" s="2" t="s">
        <v>89</v>
      </c>
      <c r="B26" s="2" t="s">
        <v>115</v>
      </c>
      <c r="C26" s="25">
        <v>47000</v>
      </c>
      <c r="D26" s="25">
        <v>3500</v>
      </c>
      <c r="E26" s="25">
        <v>2300</v>
      </c>
      <c r="F26" s="25">
        <f t="shared" si="0"/>
        <v>48200</v>
      </c>
    </row>
    <row r="27" spans="1:6" x14ac:dyDescent="0.3">
      <c r="A27" s="2" t="s">
        <v>90</v>
      </c>
      <c r="B27" s="2" t="s">
        <v>116</v>
      </c>
      <c r="C27" s="25">
        <v>50000</v>
      </c>
      <c r="D27" s="25">
        <v>3500</v>
      </c>
      <c r="E27" s="25">
        <v>3400</v>
      </c>
      <c r="F27" s="25">
        <f t="shared" si="0"/>
        <v>50100</v>
      </c>
    </row>
    <row r="28" spans="1:6" x14ac:dyDescent="0.3">
      <c r="D28" s="2">
        <v>3500</v>
      </c>
      <c r="E28" s="2">
        <v>2100</v>
      </c>
      <c r="F28">
        <f t="shared" si="0"/>
        <v>1400</v>
      </c>
    </row>
    <row r="29" spans="1:6" x14ac:dyDescent="0.3">
      <c r="E29" s="2">
        <v>2700</v>
      </c>
      <c r="F29">
        <f t="shared" si="0"/>
        <v>-2700</v>
      </c>
    </row>
    <row r="30" spans="1:6" x14ac:dyDescent="0.3">
      <c r="F30">
        <f t="shared" si="0"/>
        <v>0</v>
      </c>
    </row>
    <row r="31" spans="1:6" x14ac:dyDescent="0.3">
      <c r="F31">
        <f t="shared" si="0"/>
        <v>0</v>
      </c>
    </row>
    <row r="32" spans="1:6" x14ac:dyDescent="0.3">
      <c r="F32">
        <f t="shared" si="0"/>
        <v>0</v>
      </c>
    </row>
    <row r="33" spans="6:6" x14ac:dyDescent="0.3">
      <c r="F33">
        <f t="shared" si="0"/>
        <v>0</v>
      </c>
    </row>
    <row r="34" spans="6:6" x14ac:dyDescent="0.3">
      <c r="F34">
        <f t="shared" ref="F34:F50" si="1">C34+D34-E34</f>
        <v>0</v>
      </c>
    </row>
    <row r="35" spans="6:6" x14ac:dyDescent="0.3">
      <c r="F35">
        <f t="shared" si="1"/>
        <v>0</v>
      </c>
    </row>
    <row r="36" spans="6:6" x14ac:dyDescent="0.3">
      <c r="F36">
        <f t="shared" si="1"/>
        <v>0</v>
      </c>
    </row>
    <row r="37" spans="6:6" x14ac:dyDescent="0.3">
      <c r="F37">
        <f t="shared" si="1"/>
        <v>0</v>
      </c>
    </row>
    <row r="38" spans="6:6" x14ac:dyDescent="0.3">
      <c r="F38">
        <f t="shared" si="1"/>
        <v>0</v>
      </c>
    </row>
    <row r="39" spans="6:6" x14ac:dyDescent="0.3">
      <c r="F39">
        <f t="shared" si="1"/>
        <v>0</v>
      </c>
    </row>
    <row r="40" spans="6:6" x14ac:dyDescent="0.3">
      <c r="F40">
        <f t="shared" si="1"/>
        <v>0</v>
      </c>
    </row>
    <row r="41" spans="6:6" x14ac:dyDescent="0.3">
      <c r="F41">
        <f t="shared" si="1"/>
        <v>0</v>
      </c>
    </row>
    <row r="42" spans="6:6" x14ac:dyDescent="0.3">
      <c r="F42">
        <f t="shared" si="1"/>
        <v>0</v>
      </c>
    </row>
    <row r="43" spans="6:6" x14ac:dyDescent="0.3">
      <c r="F43">
        <f t="shared" si="1"/>
        <v>0</v>
      </c>
    </row>
    <row r="44" spans="6:6" x14ac:dyDescent="0.3">
      <c r="F44">
        <f t="shared" si="1"/>
        <v>0</v>
      </c>
    </row>
    <row r="45" spans="6:6" x14ac:dyDescent="0.3">
      <c r="F45">
        <f t="shared" si="1"/>
        <v>0</v>
      </c>
    </row>
    <row r="46" spans="6:6" x14ac:dyDescent="0.3">
      <c r="F46">
        <f t="shared" si="1"/>
        <v>0</v>
      </c>
    </row>
    <row r="47" spans="6:6" x14ac:dyDescent="0.3">
      <c r="F47">
        <f t="shared" si="1"/>
        <v>0</v>
      </c>
    </row>
    <row r="48" spans="6:6" x14ac:dyDescent="0.3">
      <c r="F48">
        <f t="shared" si="1"/>
        <v>0</v>
      </c>
    </row>
    <row r="49" spans="6:6" x14ac:dyDescent="0.3">
      <c r="F49">
        <f t="shared" si="1"/>
        <v>0</v>
      </c>
    </row>
    <row r="50" spans="6:6" x14ac:dyDescent="0.3">
      <c r="F50">
        <f t="shared" si="1"/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1_Data_Validation</vt:lpstr>
      <vt:lpstr>2_Interest_Calc</vt:lpstr>
      <vt:lpstr>3_Data_Consolidation</vt:lpstr>
      <vt:lpstr>4_Grades</vt:lpstr>
      <vt:lpstr>5_Date_Time</vt:lpstr>
      <vt:lpstr>6_Payroll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7w7vj</dc:creator>
  <cp:lastModifiedBy>deepak mandal</cp:lastModifiedBy>
  <dcterms:created xsi:type="dcterms:W3CDTF">2026-10-03T03:03:55Z</dcterms:created>
  <dcterms:modified xsi:type="dcterms:W3CDTF">2026-10-03T09:22:02Z</dcterms:modified>
</cp:coreProperties>
</file>