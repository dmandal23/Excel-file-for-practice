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 mandal\Desktop\Salary sheet\"/>
    </mc:Choice>
  </mc:AlternateContent>
  <xr:revisionPtr revIDLastSave="0" documentId="8_{E4003761-C247-47C9-8271-E23F64515BE0}" xr6:coauthVersionLast="47" xr6:coauthVersionMax="47" xr10:uidLastSave="{00000000-0000-0000-0000-000000000000}"/>
  <bookViews>
    <workbookView xWindow="-108" yWindow="-108" windowWidth="23256" windowHeight="12456" xr2:uid="{41F59D8C-5B1E-4088-9FA3-D85A400A1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3" i="1"/>
  <c r="N4" i="1"/>
  <c r="N5" i="1"/>
  <c r="N6" i="1"/>
  <c r="N7" i="1"/>
  <c r="N8" i="1"/>
  <c r="N9" i="1"/>
  <c r="N10" i="1"/>
  <c r="N11" i="1"/>
  <c r="N12" i="1"/>
  <c r="N13" i="1"/>
  <c r="N14" i="1"/>
  <c r="N3" i="1"/>
  <c r="M4" i="1"/>
  <c r="M5" i="1"/>
  <c r="M6" i="1"/>
  <c r="M7" i="1"/>
  <c r="M8" i="1"/>
  <c r="M9" i="1"/>
  <c r="M10" i="1"/>
  <c r="M11" i="1"/>
  <c r="M12" i="1"/>
  <c r="M13" i="1"/>
  <c r="M14" i="1"/>
  <c r="M3" i="1"/>
  <c r="L4" i="1"/>
  <c r="L5" i="1"/>
  <c r="L6" i="1"/>
  <c r="L7" i="1"/>
  <c r="L8" i="1"/>
  <c r="L9" i="1"/>
  <c r="L10" i="1"/>
  <c r="L11" i="1"/>
  <c r="L12" i="1"/>
  <c r="L13" i="1"/>
  <c r="L14" i="1"/>
  <c r="L3" i="1"/>
  <c r="K4" i="1"/>
  <c r="K5" i="1"/>
  <c r="K6" i="1"/>
  <c r="K7" i="1"/>
  <c r="K8" i="1"/>
  <c r="K9" i="1"/>
  <c r="K10" i="1"/>
  <c r="K11" i="1"/>
  <c r="K12" i="1"/>
  <c r="K13" i="1"/>
  <c r="K14" i="1"/>
  <c r="K3" i="1"/>
  <c r="F4" i="1"/>
  <c r="F5" i="1"/>
  <c r="F6" i="1"/>
  <c r="F7" i="1"/>
  <c r="F8" i="1"/>
  <c r="F9" i="1"/>
  <c r="F10" i="1"/>
  <c r="F11" i="1"/>
  <c r="F12" i="1"/>
  <c r="F13" i="1"/>
  <c r="F14" i="1"/>
  <c r="F15" i="1"/>
  <c r="K15" i="1" s="1"/>
  <c r="L15" i="1" s="1"/>
  <c r="F3" i="1"/>
  <c r="O15" i="1" l="1"/>
  <c r="M15" i="1"/>
  <c r="N15" i="1"/>
</calcChain>
</file>

<file path=xl/sharedStrings.xml><?xml version="1.0" encoding="utf-8"?>
<sst xmlns="http://schemas.openxmlformats.org/spreadsheetml/2006/main" count="50" uniqueCount="34">
  <si>
    <t>Id</t>
  </si>
  <si>
    <t>Name</t>
  </si>
  <si>
    <t>Basic Salary</t>
  </si>
  <si>
    <t>Attendance</t>
  </si>
  <si>
    <t>Salary</t>
  </si>
  <si>
    <t>HRA</t>
  </si>
  <si>
    <t>Designation</t>
  </si>
  <si>
    <t>DA</t>
  </si>
  <si>
    <t>Convence</t>
  </si>
  <si>
    <t>Overtime Salary</t>
  </si>
  <si>
    <t>Gross Salary</t>
  </si>
  <si>
    <t>PF</t>
  </si>
  <si>
    <t>ESI</t>
  </si>
  <si>
    <t>In Hand Salary</t>
  </si>
  <si>
    <t>Employee Salary Sheet</t>
  </si>
  <si>
    <t>Amit</t>
  </si>
  <si>
    <t>Nandu</t>
  </si>
  <si>
    <t>Kiran</t>
  </si>
  <si>
    <t>Nirmala</t>
  </si>
  <si>
    <t>soni</t>
  </si>
  <si>
    <t>Ajay</t>
  </si>
  <si>
    <t>arav</t>
  </si>
  <si>
    <t>kandan</t>
  </si>
  <si>
    <t>kanchan</t>
  </si>
  <si>
    <t>deepak</t>
  </si>
  <si>
    <t>ajay</t>
  </si>
  <si>
    <t>Manager</t>
  </si>
  <si>
    <t>Asst. Manager</t>
  </si>
  <si>
    <t>Supervisor</t>
  </si>
  <si>
    <t>Staff</t>
  </si>
  <si>
    <t>amar</t>
  </si>
  <si>
    <t>staff</t>
  </si>
  <si>
    <t>Overtime in Hours</t>
  </si>
  <si>
    <t>anant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</si>
</sst>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8" formatCode="[$INR]\ #,##0;\-[$INR]\ #,##0"/>
    <numFmt numFmtId="169" formatCode="[$INR]\ #,##0.00"/>
    <numFmt numFmtId="171" formatCode="[$INR]\ #,##0"/>
    <numFmt numFmtId="173" formatCode="#\ &quot;Hrs&quot;"/>
    <numFmt numFmtId="174" formatCode="[$INR]\ #,##0.00;\-[$INR]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8" fontId="0" fillId="5" borderId="1" xfId="1" applyNumberFormat="1" applyFont="1" applyFill="1" applyBorder="1" applyAlignment="1">
      <alignment horizontal="center" vertical="center"/>
    </xf>
    <xf numFmtId="168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4" fontId="0" fillId="8" borderId="1" xfId="0" applyNumberFormat="1" applyFill="1" applyBorder="1" applyAlignment="1">
      <alignment horizontal="center" vertical="center"/>
    </xf>
    <xf numFmtId="174" fontId="2" fillId="9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8DBE-7A5B-4DF3-8D55-A6AD3E9DBB13}">
  <dimension ref="A1:O19"/>
  <sheetViews>
    <sheetView tabSelected="1" zoomScale="90" zoomScaleNormal="90" workbookViewId="0">
      <selection activeCell="L23" sqref="L23"/>
    </sheetView>
  </sheetViews>
  <sheetFormatPr defaultRowHeight="14.4" x14ac:dyDescent="0.3"/>
  <cols>
    <col min="1" max="1" width="7.44140625" customWidth="1"/>
    <col min="2" max="2" width="11" customWidth="1"/>
    <col min="3" max="3" width="17" customWidth="1"/>
    <col min="4" max="4" width="18.21875" customWidth="1"/>
    <col min="5" max="5" width="16.44140625" customWidth="1"/>
    <col min="6" max="6" width="16.77734375" customWidth="1"/>
    <col min="7" max="7" width="14.88671875" customWidth="1"/>
    <col min="8" max="8" width="13.44140625" customWidth="1"/>
    <col min="9" max="9" width="14.6640625" customWidth="1"/>
    <col min="10" max="10" width="14.5546875" customWidth="1"/>
    <col min="11" max="11" width="18.21875" customWidth="1"/>
    <col min="12" max="12" width="15" customWidth="1"/>
    <col min="13" max="13" width="11" customWidth="1"/>
    <col min="14" max="14" width="13" customWidth="1"/>
    <col min="15" max="15" width="16.5546875" customWidth="1"/>
  </cols>
  <sheetData>
    <row r="1" spans="1:15" ht="31.8" customHeight="1" x14ac:dyDescent="0.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42" customHeight="1" x14ac:dyDescent="0.3">
      <c r="A2" s="1" t="s">
        <v>0</v>
      </c>
      <c r="B2" s="1" t="s">
        <v>1</v>
      </c>
      <c r="C2" s="1" t="s">
        <v>6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7</v>
      </c>
      <c r="I2" s="1" t="s">
        <v>8</v>
      </c>
      <c r="J2" s="1" t="s">
        <v>32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1:15" x14ac:dyDescent="0.3">
      <c r="A3" s="10">
        <v>10101</v>
      </c>
      <c r="B3" s="3" t="s">
        <v>15</v>
      </c>
      <c r="C3" s="3" t="s">
        <v>26</v>
      </c>
      <c r="D3" s="11">
        <v>60000</v>
      </c>
      <c r="E3" s="3">
        <v>28</v>
      </c>
      <c r="F3" s="12">
        <f>D3/30*E3</f>
        <v>56000</v>
      </c>
      <c r="G3" s="7">
        <v>10000</v>
      </c>
      <c r="H3" s="3">
        <v>6000</v>
      </c>
      <c r="I3" s="13">
        <v>5000</v>
      </c>
      <c r="J3" s="8">
        <v>40</v>
      </c>
      <c r="K3" s="9">
        <f>F3/30/8*J3</f>
        <v>9333.3333333333339</v>
      </c>
      <c r="L3" s="14">
        <f>F3+G3+H3+I3+K3</f>
        <v>86333.333333333328</v>
      </c>
      <c r="M3" s="5">
        <f>F3*12/100</f>
        <v>6720</v>
      </c>
      <c r="N3" s="9">
        <f>F3*0.75/100</f>
        <v>420</v>
      </c>
      <c r="O3" s="15">
        <f>L3-M3-N3</f>
        <v>79193.333333333328</v>
      </c>
    </row>
    <row r="4" spans="1:15" x14ac:dyDescent="0.3">
      <c r="A4" s="10">
        <v>10102</v>
      </c>
      <c r="B4" s="3" t="s">
        <v>16</v>
      </c>
      <c r="C4" s="3" t="s">
        <v>27</v>
      </c>
      <c r="D4" s="11">
        <v>40000</v>
      </c>
      <c r="E4" s="3">
        <v>30</v>
      </c>
      <c r="F4" s="12">
        <f t="shared" ref="F4:F19" si="0">D4/30*E4</f>
        <v>40000</v>
      </c>
      <c r="G4" s="7">
        <v>8000</v>
      </c>
      <c r="H4" s="3">
        <v>5000</v>
      </c>
      <c r="I4" s="13">
        <v>4000</v>
      </c>
      <c r="J4" s="8">
        <v>49</v>
      </c>
      <c r="K4" s="9">
        <f t="shared" ref="K4:K19" si="1">F4/30/8*J4</f>
        <v>8166.6666666666661</v>
      </c>
      <c r="L4" s="14">
        <f t="shared" ref="L4:L19" si="2">F4+G4+H4+I4+K4</f>
        <v>65166.666666666664</v>
      </c>
      <c r="M4" s="5">
        <f t="shared" ref="M4:M19" si="3">F4*12/100</f>
        <v>4800</v>
      </c>
      <c r="N4" s="9">
        <f t="shared" ref="N4:N19" si="4">F4*0.75/100</f>
        <v>300</v>
      </c>
      <c r="O4" s="15">
        <f t="shared" ref="O4:O19" si="5">L4-M4-N4</f>
        <v>60066.666666666664</v>
      </c>
    </row>
    <row r="5" spans="1:15" x14ac:dyDescent="0.3">
      <c r="A5" s="10">
        <v>10103</v>
      </c>
      <c r="B5" s="3" t="s">
        <v>17</v>
      </c>
      <c r="C5" s="3" t="s">
        <v>28</v>
      </c>
      <c r="D5" s="11">
        <v>30000</v>
      </c>
      <c r="E5" s="3">
        <v>26</v>
      </c>
      <c r="F5" s="12">
        <f t="shared" si="0"/>
        <v>26000</v>
      </c>
      <c r="G5" s="7">
        <v>5000</v>
      </c>
      <c r="H5" s="3">
        <v>4000</v>
      </c>
      <c r="I5" s="13">
        <v>3000</v>
      </c>
      <c r="J5" s="8">
        <v>50</v>
      </c>
      <c r="K5" s="9">
        <f t="shared" si="1"/>
        <v>5416.6666666666661</v>
      </c>
      <c r="L5" s="14">
        <f t="shared" si="2"/>
        <v>43416.666666666664</v>
      </c>
      <c r="M5" s="5">
        <f t="shared" si="3"/>
        <v>3120</v>
      </c>
      <c r="N5" s="9">
        <f t="shared" si="4"/>
        <v>195</v>
      </c>
      <c r="O5" s="15">
        <f t="shared" si="5"/>
        <v>40101.666666666664</v>
      </c>
    </row>
    <row r="6" spans="1:15" x14ac:dyDescent="0.3">
      <c r="A6" s="10">
        <v>10104</v>
      </c>
      <c r="B6" s="3" t="s">
        <v>18</v>
      </c>
      <c r="C6" s="3" t="s">
        <v>29</v>
      </c>
      <c r="D6" s="11">
        <v>25000</v>
      </c>
      <c r="E6" s="3">
        <v>25</v>
      </c>
      <c r="F6" s="12">
        <f t="shared" si="0"/>
        <v>20833.333333333336</v>
      </c>
      <c r="G6" s="7">
        <v>4000</v>
      </c>
      <c r="H6" s="3">
        <v>4000</v>
      </c>
      <c r="I6" s="13">
        <v>3000</v>
      </c>
      <c r="J6" s="8">
        <v>23</v>
      </c>
      <c r="K6" s="9">
        <f t="shared" si="1"/>
        <v>1996.5277777777781</v>
      </c>
      <c r="L6" s="14">
        <f t="shared" si="2"/>
        <v>33829.861111111117</v>
      </c>
      <c r="M6" s="5">
        <f t="shared" si="3"/>
        <v>2500.0000000000005</v>
      </c>
      <c r="N6" s="9">
        <f t="shared" si="4"/>
        <v>156.25000000000003</v>
      </c>
      <c r="O6" s="15">
        <f t="shared" si="5"/>
        <v>31173.611111111117</v>
      </c>
    </row>
    <row r="7" spans="1:15" x14ac:dyDescent="0.3">
      <c r="A7" s="10">
        <v>10105</v>
      </c>
      <c r="B7" s="3" t="s">
        <v>19</v>
      </c>
      <c r="C7" s="3" t="s">
        <v>29</v>
      </c>
      <c r="D7" s="11">
        <v>25000</v>
      </c>
      <c r="E7" s="3">
        <v>28</v>
      </c>
      <c r="F7" s="12">
        <f t="shared" si="0"/>
        <v>23333.333333333336</v>
      </c>
      <c r="G7" s="7">
        <v>4000</v>
      </c>
      <c r="H7" s="3">
        <v>4000</v>
      </c>
      <c r="I7" s="13">
        <v>3000</v>
      </c>
      <c r="J7" s="8">
        <v>45</v>
      </c>
      <c r="K7" s="9">
        <f t="shared" si="1"/>
        <v>4375</v>
      </c>
      <c r="L7" s="14">
        <f t="shared" si="2"/>
        <v>38708.333333333336</v>
      </c>
      <c r="M7" s="5">
        <f t="shared" si="3"/>
        <v>2800</v>
      </c>
      <c r="N7" s="9">
        <f t="shared" si="4"/>
        <v>175</v>
      </c>
      <c r="O7" s="15">
        <f t="shared" si="5"/>
        <v>35733.333333333336</v>
      </c>
    </row>
    <row r="8" spans="1:15" x14ac:dyDescent="0.3">
      <c r="A8" s="10">
        <v>10106</v>
      </c>
      <c r="B8" s="3" t="s">
        <v>20</v>
      </c>
      <c r="C8" s="3" t="s">
        <v>29</v>
      </c>
      <c r="D8" s="11">
        <v>25000</v>
      </c>
      <c r="E8" s="3">
        <v>29</v>
      </c>
      <c r="F8" s="12">
        <f t="shared" si="0"/>
        <v>24166.666666666668</v>
      </c>
      <c r="G8" s="7">
        <v>4000</v>
      </c>
      <c r="H8" s="3">
        <v>4000</v>
      </c>
      <c r="I8" s="13">
        <v>3000</v>
      </c>
      <c r="J8" s="8">
        <v>66</v>
      </c>
      <c r="K8" s="9">
        <f t="shared" si="1"/>
        <v>6645.833333333333</v>
      </c>
      <c r="L8" s="14">
        <f t="shared" si="2"/>
        <v>41812.500000000007</v>
      </c>
      <c r="M8" s="5">
        <f t="shared" si="3"/>
        <v>2900</v>
      </c>
      <c r="N8" s="9">
        <f t="shared" si="4"/>
        <v>181.25</v>
      </c>
      <c r="O8" s="15">
        <f t="shared" si="5"/>
        <v>38731.250000000007</v>
      </c>
    </row>
    <row r="9" spans="1:15" x14ac:dyDescent="0.3">
      <c r="A9" s="10">
        <v>10107</v>
      </c>
      <c r="B9" s="3" t="s">
        <v>21</v>
      </c>
      <c r="C9" s="3" t="s">
        <v>29</v>
      </c>
      <c r="D9" s="11">
        <v>25000</v>
      </c>
      <c r="E9" s="3">
        <v>30</v>
      </c>
      <c r="F9" s="12">
        <f t="shared" si="0"/>
        <v>25000</v>
      </c>
      <c r="G9" s="7">
        <v>4000</v>
      </c>
      <c r="H9" s="3">
        <v>4000</v>
      </c>
      <c r="I9" s="13">
        <v>3000</v>
      </c>
      <c r="J9" s="8">
        <v>33</v>
      </c>
      <c r="K9" s="9">
        <f t="shared" si="1"/>
        <v>3437.5</v>
      </c>
      <c r="L9" s="14">
        <f t="shared" si="2"/>
        <v>39437.5</v>
      </c>
      <c r="M9" s="5">
        <f t="shared" si="3"/>
        <v>3000</v>
      </c>
      <c r="N9" s="9">
        <f t="shared" si="4"/>
        <v>187.5</v>
      </c>
      <c r="O9" s="15">
        <f t="shared" si="5"/>
        <v>36250</v>
      </c>
    </row>
    <row r="10" spans="1:15" x14ac:dyDescent="0.3">
      <c r="A10" s="10">
        <v>10108</v>
      </c>
      <c r="B10" s="3" t="s">
        <v>22</v>
      </c>
      <c r="C10" s="3" t="s">
        <v>29</v>
      </c>
      <c r="D10" s="11">
        <v>25000</v>
      </c>
      <c r="E10" s="3">
        <v>27</v>
      </c>
      <c r="F10" s="12">
        <f t="shared" si="0"/>
        <v>22500</v>
      </c>
      <c r="G10" s="7">
        <v>4000</v>
      </c>
      <c r="H10" s="3">
        <v>4000</v>
      </c>
      <c r="I10" s="13">
        <v>3000</v>
      </c>
      <c r="J10" s="8">
        <v>44</v>
      </c>
      <c r="K10" s="9">
        <f t="shared" si="1"/>
        <v>4125</v>
      </c>
      <c r="L10" s="14">
        <f t="shared" si="2"/>
        <v>37625</v>
      </c>
      <c r="M10" s="5">
        <f t="shared" si="3"/>
        <v>2700</v>
      </c>
      <c r="N10" s="9">
        <f t="shared" si="4"/>
        <v>168.75</v>
      </c>
      <c r="O10" s="15">
        <f t="shared" si="5"/>
        <v>34756.25</v>
      </c>
    </row>
    <row r="11" spans="1:15" x14ac:dyDescent="0.3">
      <c r="A11" s="10">
        <v>10109</v>
      </c>
      <c r="B11" s="3" t="s">
        <v>23</v>
      </c>
      <c r="C11" s="3" t="s">
        <v>29</v>
      </c>
      <c r="D11" s="11">
        <v>25000</v>
      </c>
      <c r="E11" s="3">
        <v>25</v>
      </c>
      <c r="F11" s="12">
        <f t="shared" si="0"/>
        <v>20833.333333333336</v>
      </c>
      <c r="G11" s="7">
        <v>4000</v>
      </c>
      <c r="H11" s="3">
        <v>4000</v>
      </c>
      <c r="I11" s="13">
        <v>3000</v>
      </c>
      <c r="J11" s="8">
        <v>55</v>
      </c>
      <c r="K11" s="9">
        <f t="shared" si="1"/>
        <v>4774.3055555555566</v>
      </c>
      <c r="L11" s="14">
        <f t="shared" si="2"/>
        <v>36607.638888888891</v>
      </c>
      <c r="M11" s="5">
        <f t="shared" si="3"/>
        <v>2500.0000000000005</v>
      </c>
      <c r="N11" s="9">
        <f t="shared" si="4"/>
        <v>156.25000000000003</v>
      </c>
      <c r="O11" s="15">
        <f t="shared" si="5"/>
        <v>33951.388888888891</v>
      </c>
    </row>
    <row r="12" spans="1:15" x14ac:dyDescent="0.3">
      <c r="A12" s="10">
        <v>10110</v>
      </c>
      <c r="B12" s="3" t="s">
        <v>24</v>
      </c>
      <c r="C12" s="3" t="s">
        <v>29</v>
      </c>
      <c r="D12" s="11">
        <v>25000</v>
      </c>
      <c r="E12" s="3">
        <v>24</v>
      </c>
      <c r="F12" s="12">
        <f t="shared" si="0"/>
        <v>20000</v>
      </c>
      <c r="G12" s="7">
        <v>4000</v>
      </c>
      <c r="H12" s="3">
        <v>4000</v>
      </c>
      <c r="I12" s="13">
        <v>3000</v>
      </c>
      <c r="J12" s="8">
        <v>66</v>
      </c>
      <c r="K12" s="9">
        <f t="shared" si="1"/>
        <v>5500</v>
      </c>
      <c r="L12" s="14">
        <f t="shared" si="2"/>
        <v>36500</v>
      </c>
      <c r="M12" s="5">
        <f t="shared" si="3"/>
        <v>2400</v>
      </c>
      <c r="N12" s="9">
        <f t="shared" si="4"/>
        <v>150</v>
      </c>
      <c r="O12" s="15">
        <f t="shared" si="5"/>
        <v>33950</v>
      </c>
    </row>
    <row r="13" spans="1:15" x14ac:dyDescent="0.3">
      <c r="A13" s="10">
        <v>10111</v>
      </c>
      <c r="B13" s="3" t="s">
        <v>25</v>
      </c>
      <c r="C13" s="3" t="s">
        <v>29</v>
      </c>
      <c r="D13" s="11">
        <v>25000</v>
      </c>
      <c r="E13" s="3">
        <v>29</v>
      </c>
      <c r="F13" s="12">
        <f t="shared" si="0"/>
        <v>24166.666666666668</v>
      </c>
      <c r="G13" s="7">
        <v>4000</v>
      </c>
      <c r="H13" s="3">
        <v>4000</v>
      </c>
      <c r="I13" s="13">
        <v>3000</v>
      </c>
      <c r="J13" s="8">
        <v>67</v>
      </c>
      <c r="K13" s="9">
        <f t="shared" si="1"/>
        <v>6746.5277777777774</v>
      </c>
      <c r="L13" s="14">
        <f t="shared" si="2"/>
        <v>41913.194444444453</v>
      </c>
      <c r="M13" s="5">
        <f t="shared" si="3"/>
        <v>2900</v>
      </c>
      <c r="N13" s="9">
        <f t="shared" si="4"/>
        <v>181.25</v>
      </c>
      <c r="O13" s="15">
        <f t="shared" si="5"/>
        <v>38831.944444444453</v>
      </c>
    </row>
    <row r="14" spans="1:15" x14ac:dyDescent="0.3">
      <c r="A14" s="10">
        <v>10112</v>
      </c>
      <c r="B14" s="3" t="s">
        <v>30</v>
      </c>
      <c r="C14" s="3" t="s">
        <v>31</v>
      </c>
      <c r="D14" s="11">
        <v>25000</v>
      </c>
      <c r="E14" s="3">
        <v>28</v>
      </c>
      <c r="F14" s="12">
        <f t="shared" si="0"/>
        <v>23333.333333333336</v>
      </c>
      <c r="G14" s="7">
        <v>4000</v>
      </c>
      <c r="H14" s="3">
        <v>4000</v>
      </c>
      <c r="I14" s="13">
        <v>3000</v>
      </c>
      <c r="J14" s="8">
        <v>56</v>
      </c>
      <c r="K14" s="9">
        <f t="shared" si="1"/>
        <v>5444.4444444444453</v>
      </c>
      <c r="L14" s="14">
        <f t="shared" si="2"/>
        <v>39777.777777777781</v>
      </c>
      <c r="M14" s="5">
        <f t="shared" si="3"/>
        <v>2800</v>
      </c>
      <c r="N14" s="9">
        <f t="shared" si="4"/>
        <v>175</v>
      </c>
      <c r="O14" s="15">
        <f t="shared" si="5"/>
        <v>36802.777777777781</v>
      </c>
    </row>
    <row r="15" spans="1:15" x14ac:dyDescent="0.3">
      <c r="A15" s="10">
        <v>10113</v>
      </c>
      <c r="B15" s="3" t="s">
        <v>33</v>
      </c>
      <c r="C15" s="3" t="s">
        <v>31</v>
      </c>
      <c r="D15" s="11">
        <v>23000</v>
      </c>
      <c r="E15" s="3">
        <v>29</v>
      </c>
      <c r="F15" s="12">
        <f t="shared" si="0"/>
        <v>22233.333333333332</v>
      </c>
      <c r="G15" s="6">
        <v>2500</v>
      </c>
      <c r="H15" s="3">
        <v>4000</v>
      </c>
      <c r="I15" s="13">
        <v>3000</v>
      </c>
      <c r="J15" s="8">
        <v>65</v>
      </c>
      <c r="K15" s="9">
        <f t="shared" si="1"/>
        <v>6021.5277777777774</v>
      </c>
      <c r="L15" s="14">
        <f t="shared" si="2"/>
        <v>37754.861111111109</v>
      </c>
      <c r="M15" s="5">
        <f t="shared" si="3"/>
        <v>2668</v>
      </c>
      <c r="N15" s="9">
        <f t="shared" si="4"/>
        <v>166.75</v>
      </c>
      <c r="O15" s="15">
        <f t="shared" si="5"/>
        <v>34920.111111111109</v>
      </c>
    </row>
    <row r="16" spans="1:15" x14ac:dyDescent="0.3">
      <c r="A16" s="10">
        <v>10114</v>
      </c>
      <c r="B16" s="3" t="s">
        <v>24</v>
      </c>
      <c r="C16" s="3" t="s">
        <v>31</v>
      </c>
      <c r="D16" s="4"/>
      <c r="E16" s="3"/>
      <c r="F16" s="5"/>
      <c r="G16" s="6"/>
      <c r="H16" s="3"/>
      <c r="I16" s="3"/>
      <c r="J16" s="8"/>
      <c r="K16" s="9"/>
      <c r="L16" s="9"/>
      <c r="M16" s="5"/>
      <c r="N16" s="9"/>
      <c r="O16" s="9"/>
    </row>
    <row r="17" spans="1:15" x14ac:dyDescent="0.3">
      <c r="A17" s="10">
        <v>10115</v>
      </c>
      <c r="B17" s="3" t="s">
        <v>25</v>
      </c>
      <c r="C17" s="3" t="s">
        <v>31</v>
      </c>
      <c r="D17" s="4"/>
      <c r="E17" s="3"/>
      <c r="F17" s="5"/>
      <c r="G17" s="6"/>
      <c r="H17" s="3"/>
      <c r="I17" s="3"/>
      <c r="J17" s="8"/>
      <c r="K17" s="9"/>
      <c r="L17" s="9"/>
      <c r="M17" s="5"/>
      <c r="N17" s="9"/>
      <c r="O17" s="9"/>
    </row>
    <row r="18" spans="1:15" x14ac:dyDescent="0.3">
      <c r="A18" s="10">
        <v>10116</v>
      </c>
      <c r="B18" s="3" t="s">
        <v>30</v>
      </c>
      <c r="C18" s="3" t="s">
        <v>29</v>
      </c>
      <c r="D18" s="4"/>
      <c r="E18" s="3"/>
      <c r="F18" s="5"/>
      <c r="G18" s="6"/>
      <c r="H18" s="3"/>
      <c r="I18" s="3"/>
      <c r="J18" s="8"/>
      <c r="K18" s="9"/>
      <c r="L18" s="9"/>
      <c r="M18" s="5"/>
      <c r="N18" s="9"/>
      <c r="O18" s="9"/>
    </row>
    <row r="19" spans="1:15" x14ac:dyDescent="0.3">
      <c r="A19" s="10">
        <v>10117</v>
      </c>
      <c r="B19" s="3" t="s">
        <v>33</v>
      </c>
      <c r="C19" s="3" t="s">
        <v>29</v>
      </c>
      <c r="D19" s="4"/>
      <c r="E19" s="3"/>
      <c r="F19" s="5"/>
      <c r="G19" s="6"/>
      <c r="H19" s="3"/>
      <c r="I19" s="3"/>
      <c r="J19" s="8"/>
      <c r="K19" s="9"/>
      <c r="L19" s="9"/>
      <c r="M19" s="5"/>
      <c r="N19" s="9"/>
      <c r="O19" s="9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mandal</dc:creator>
  <cp:lastModifiedBy>deepak mandal</cp:lastModifiedBy>
  <dcterms:created xsi:type="dcterms:W3CDTF">2026-09-14T10:37:24Z</dcterms:created>
  <dcterms:modified xsi:type="dcterms:W3CDTF">2026-09-14T11:29:51Z</dcterms:modified>
</cp:coreProperties>
</file>