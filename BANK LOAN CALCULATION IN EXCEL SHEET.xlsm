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BANK WOR FILE VIDEO\FILE\"/>
    </mc:Choice>
  </mc:AlternateContent>
  <xr:revisionPtr revIDLastSave="0" documentId="8_{B633E804-02FC-4207-9EF4-2002B255360C}" xr6:coauthVersionLast="47" xr6:coauthVersionMax="47" xr10:uidLastSave="{00000000-0000-0000-0000-000000000000}"/>
  <bookViews>
    <workbookView xWindow="-108" yWindow="-108" windowWidth="23256" windowHeight="12456" xr2:uid="{63A14C16-9084-434D-8D17-FEF393E9942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1" l="1"/>
  <c r="H5" i="1" s="1"/>
  <c r="G6" i="1"/>
  <c r="H6" i="1" s="1"/>
  <c r="I6" i="1" s="1"/>
  <c r="G7" i="1"/>
  <c r="H7" i="1" s="1"/>
  <c r="I7" i="1" s="1"/>
  <c r="G8" i="1"/>
  <c r="H8" i="1" s="1"/>
  <c r="I8" i="1" s="1"/>
  <c r="G9" i="1"/>
  <c r="H9" i="1" s="1"/>
  <c r="I9" i="1" s="1"/>
  <c r="G10" i="1"/>
  <c r="H10" i="1" s="1"/>
  <c r="I10" i="1" s="1"/>
  <c r="G11" i="1"/>
  <c r="H11" i="1" s="1"/>
  <c r="I11" i="1" s="1"/>
  <c r="G12" i="1"/>
  <c r="H12" i="1" s="1"/>
  <c r="I12" i="1" s="1"/>
  <c r="G13" i="1"/>
  <c r="H13" i="1" s="1"/>
  <c r="I13" i="1" s="1"/>
  <c r="G14" i="1"/>
  <c r="H14" i="1" s="1"/>
  <c r="I14" i="1" s="1"/>
  <c r="G15" i="1"/>
  <c r="H15" i="1" s="1"/>
  <c r="I15" i="1" s="1"/>
  <c r="G16" i="1"/>
  <c r="H16" i="1" s="1"/>
  <c r="I16" i="1" s="1"/>
  <c r="G17" i="1"/>
  <c r="H17" i="1" s="1"/>
  <c r="I17" i="1" s="1"/>
  <c r="G18" i="1"/>
  <c r="H18" i="1" s="1"/>
  <c r="I18" i="1" s="1"/>
  <c r="G19" i="1"/>
  <c r="H19" i="1" s="1"/>
  <c r="I19" i="1" s="1"/>
  <c r="G20" i="1"/>
  <c r="H20" i="1" s="1"/>
  <c r="I20" i="1" s="1"/>
  <c r="G21" i="1"/>
  <c r="H21" i="1" s="1"/>
  <c r="I21" i="1" s="1"/>
  <c r="G22" i="1"/>
  <c r="H22" i="1" s="1"/>
  <c r="I22" i="1" s="1"/>
  <c r="G23" i="1"/>
  <c r="H23" i="1" s="1"/>
  <c r="I23" i="1" s="1"/>
  <c r="G24" i="1"/>
  <c r="H24" i="1" s="1"/>
  <c r="I24" i="1" s="1"/>
  <c r="G25" i="1"/>
  <c r="H25" i="1" s="1"/>
  <c r="I25" i="1" s="1"/>
  <c r="G26" i="1"/>
  <c r="H26" i="1" s="1"/>
  <c r="I26" i="1" s="1"/>
  <c r="G27" i="1"/>
  <c r="H27" i="1" s="1"/>
  <c r="I27" i="1" s="1"/>
  <c r="I5" i="1" l="1"/>
</calcChain>
</file>

<file path=xl/sharedStrings.xml><?xml version="1.0" encoding="utf-8"?>
<sst xmlns="http://schemas.openxmlformats.org/spreadsheetml/2006/main" count="57" uniqueCount="23">
  <si>
    <t>S.No</t>
  </si>
  <si>
    <t>Client Name</t>
  </si>
  <si>
    <t>Loan Type</t>
  </si>
  <si>
    <t>Loan Amount</t>
  </si>
  <si>
    <t>Rate Of Interest</t>
  </si>
  <si>
    <t>Duration</t>
  </si>
  <si>
    <t>EMI</t>
  </si>
  <si>
    <t>Total Amount</t>
  </si>
  <si>
    <t>Interest</t>
  </si>
  <si>
    <t>Bank Loan Data</t>
  </si>
  <si>
    <t>Sandeep</t>
  </si>
  <si>
    <t>Aman</t>
  </si>
  <si>
    <t>Amrendra</t>
  </si>
  <si>
    <t>JIMMY</t>
  </si>
  <si>
    <t>Mansu</t>
  </si>
  <si>
    <t>Ramesh</t>
  </si>
  <si>
    <t>Billya</t>
  </si>
  <si>
    <t>Kamaya</t>
  </si>
  <si>
    <t>Anaya</t>
  </si>
  <si>
    <t>Personal</t>
  </si>
  <si>
    <t>Home</t>
  </si>
  <si>
    <t>Car</t>
  </si>
  <si>
    <t>Bank work In Ecel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</si>
</sst>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INR]\ #,##0.00;[Red]\-[$INR]\ 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9" fontId="0" fillId="4" borderId="1" xfId="1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7DFB6-0718-40EF-B745-870564FD507C}">
  <dimension ref="A1:I27"/>
  <sheetViews>
    <sheetView tabSelected="1" workbookViewId="0">
      <selection activeCell="D4" sqref="D4"/>
    </sheetView>
  </sheetViews>
  <sheetFormatPr defaultRowHeight="14.4" x14ac:dyDescent="0.3"/>
  <cols>
    <col min="1" max="1" width="6.6640625" customWidth="1"/>
    <col min="2" max="2" width="12.77734375" customWidth="1"/>
    <col min="3" max="3" width="16.44140625" customWidth="1"/>
    <col min="4" max="4" width="14.6640625" customWidth="1"/>
    <col min="5" max="5" width="14.33203125" customWidth="1"/>
    <col min="6" max="6" width="11.21875" customWidth="1"/>
    <col min="7" max="7" width="23.5546875" customWidth="1"/>
    <col min="8" max="8" width="18.33203125" customWidth="1"/>
    <col min="9" max="9" width="16.6640625" customWidth="1"/>
  </cols>
  <sheetData>
    <row r="1" spans="1:9" x14ac:dyDescent="0.3">
      <c r="A1" s="5" t="s">
        <v>9</v>
      </c>
      <c r="B1" s="6"/>
      <c r="C1" s="6"/>
      <c r="D1" s="6"/>
      <c r="E1" s="6"/>
      <c r="F1" s="6"/>
      <c r="G1" s="6"/>
      <c r="H1" s="6"/>
      <c r="I1" s="7"/>
    </row>
    <row r="2" spans="1:9" x14ac:dyDescent="0.3">
      <c r="A2" s="8"/>
      <c r="B2" s="9"/>
      <c r="C2" s="9"/>
      <c r="D2" s="9"/>
      <c r="E2" s="9"/>
      <c r="F2" s="9"/>
      <c r="G2" s="9"/>
      <c r="H2" s="9"/>
      <c r="I2" s="10"/>
    </row>
    <row r="3" spans="1:9" ht="21" customHeight="1" x14ac:dyDescent="0.3">
      <c r="A3" s="11" t="s">
        <v>22</v>
      </c>
      <c r="B3" s="12"/>
      <c r="C3" s="12"/>
      <c r="D3" s="12"/>
      <c r="E3" s="12"/>
      <c r="F3" s="12"/>
      <c r="G3" s="12"/>
      <c r="H3" s="12"/>
      <c r="I3" s="13"/>
    </row>
    <row r="4" spans="1:9" x14ac:dyDescent="0.3">
      <c r="A4" s="14" t="s">
        <v>0</v>
      </c>
      <c r="B4" s="15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5" t="s">
        <v>7</v>
      </c>
      <c r="I4" s="16" t="s">
        <v>8</v>
      </c>
    </row>
    <row r="5" spans="1:9" x14ac:dyDescent="0.3">
      <c r="A5" s="1">
        <v>1</v>
      </c>
      <c r="B5" s="1" t="s">
        <v>10</v>
      </c>
      <c r="C5" s="2" t="s">
        <v>19</v>
      </c>
      <c r="D5" s="1">
        <v>1000000</v>
      </c>
      <c r="E5" s="3">
        <v>0.1</v>
      </c>
      <c r="F5" s="1">
        <v>2</v>
      </c>
      <c r="G5" s="4">
        <f>IFERROR(-PMT(E5/12,F5*12,D5),"")</f>
        <v>46144.926337516503</v>
      </c>
      <c r="H5" s="4">
        <f>IFERROR(G5*F5*12,"")</f>
        <v>1107478.232100396</v>
      </c>
      <c r="I5" s="4">
        <f>IFERROR(H5-D5,"")</f>
        <v>107478.23210039595</v>
      </c>
    </row>
    <row r="6" spans="1:9" x14ac:dyDescent="0.3">
      <c r="A6" s="1">
        <v>2</v>
      </c>
      <c r="B6" s="1" t="s">
        <v>11</v>
      </c>
      <c r="C6" s="2" t="s">
        <v>20</v>
      </c>
      <c r="D6" s="1">
        <v>600000</v>
      </c>
      <c r="E6" s="3">
        <v>0.11</v>
      </c>
      <c r="F6" s="1">
        <v>3</v>
      </c>
      <c r="G6" s="4">
        <f t="shared" ref="G6:G27" si="0">IFERROR(-PMT(E6/12,F6*12,D6),"")</f>
        <v>19643.230270201224</v>
      </c>
      <c r="H6" s="4">
        <f t="shared" ref="H6:H27" si="1">IFERROR(G6*F6*12,"")</f>
        <v>707156.28972724406</v>
      </c>
      <c r="I6" s="4">
        <f t="shared" ref="I6:I27" si="2">IFERROR(H6-D6,"")</f>
        <v>107156.28972724406</v>
      </c>
    </row>
    <row r="7" spans="1:9" x14ac:dyDescent="0.3">
      <c r="A7" s="1">
        <v>3</v>
      </c>
      <c r="B7" s="1" t="s">
        <v>12</v>
      </c>
      <c r="C7" s="2" t="s">
        <v>21</v>
      </c>
      <c r="D7" s="1">
        <v>200000</v>
      </c>
      <c r="E7" s="3">
        <v>0.08</v>
      </c>
      <c r="F7" s="1">
        <v>4</v>
      </c>
      <c r="G7" s="4">
        <f t="shared" si="0"/>
        <v>4882.5844683004962</v>
      </c>
      <c r="H7" s="4">
        <f t="shared" si="1"/>
        <v>234364.05447842382</v>
      </c>
      <c r="I7" s="4">
        <f t="shared" si="2"/>
        <v>34364.054478423815</v>
      </c>
    </row>
    <row r="8" spans="1:9" x14ac:dyDescent="0.3">
      <c r="A8" s="1">
        <v>4</v>
      </c>
      <c r="B8" s="1" t="s">
        <v>13</v>
      </c>
      <c r="C8" s="2" t="s">
        <v>20</v>
      </c>
      <c r="D8" s="1">
        <v>500000</v>
      </c>
      <c r="E8" s="3">
        <v>0.11</v>
      </c>
      <c r="F8" s="1">
        <v>3</v>
      </c>
      <c r="G8" s="4">
        <f t="shared" si="0"/>
        <v>16369.358558501021</v>
      </c>
      <c r="H8" s="4">
        <f t="shared" si="1"/>
        <v>589296.90810603672</v>
      </c>
      <c r="I8" s="4">
        <f t="shared" si="2"/>
        <v>89296.908106036717</v>
      </c>
    </row>
    <row r="9" spans="1:9" x14ac:dyDescent="0.3">
      <c r="A9" s="1">
        <v>5</v>
      </c>
      <c r="B9" s="1" t="s">
        <v>14</v>
      </c>
      <c r="C9" s="2" t="s">
        <v>19</v>
      </c>
      <c r="D9" s="1">
        <v>800000</v>
      </c>
      <c r="E9" s="3">
        <v>0.12</v>
      </c>
      <c r="F9" s="1">
        <v>4</v>
      </c>
      <c r="G9" s="4">
        <f t="shared" si="0"/>
        <v>21067.068345542211</v>
      </c>
      <c r="H9" s="4">
        <f t="shared" si="1"/>
        <v>1011219.2805860261</v>
      </c>
      <c r="I9" s="4">
        <f t="shared" si="2"/>
        <v>211219.28058602614</v>
      </c>
    </row>
    <row r="10" spans="1:9" x14ac:dyDescent="0.3">
      <c r="A10" s="1">
        <v>6</v>
      </c>
      <c r="B10" s="1" t="s">
        <v>15</v>
      </c>
      <c r="C10" s="2" t="s">
        <v>20</v>
      </c>
      <c r="D10" s="1">
        <v>1100000</v>
      </c>
      <c r="E10" s="3">
        <v>0.1</v>
      </c>
      <c r="F10" s="1">
        <v>3</v>
      </c>
      <c r="G10" s="4">
        <f t="shared" si="0"/>
        <v>35493.905913221228</v>
      </c>
      <c r="H10" s="4">
        <f t="shared" si="1"/>
        <v>1277780.6128759643</v>
      </c>
      <c r="I10" s="4">
        <f t="shared" si="2"/>
        <v>177780.61287596426</v>
      </c>
    </row>
    <row r="11" spans="1:9" x14ac:dyDescent="0.3">
      <c r="A11" s="1">
        <v>7</v>
      </c>
      <c r="B11" s="1" t="s">
        <v>16</v>
      </c>
      <c r="C11" s="2" t="s">
        <v>21</v>
      </c>
      <c r="D11" s="1">
        <v>1400000</v>
      </c>
      <c r="E11" s="3">
        <v>0.09</v>
      </c>
      <c r="F11" s="1">
        <v>2</v>
      </c>
      <c r="G11" s="4">
        <f t="shared" si="0"/>
        <v>63958.639190842325</v>
      </c>
      <c r="H11" s="4">
        <f t="shared" si="1"/>
        <v>1535007.3405802157</v>
      </c>
      <c r="I11" s="4">
        <f t="shared" si="2"/>
        <v>135007.34058021568</v>
      </c>
    </row>
    <row r="12" spans="1:9" x14ac:dyDescent="0.3">
      <c r="A12" s="1">
        <v>8</v>
      </c>
      <c r="B12" s="1" t="s">
        <v>17</v>
      </c>
      <c r="C12" s="2" t="s">
        <v>20</v>
      </c>
      <c r="D12" s="1">
        <v>1700000</v>
      </c>
      <c r="E12" s="3">
        <v>0.08</v>
      </c>
      <c r="F12" s="1">
        <v>2</v>
      </c>
      <c r="G12" s="4">
        <f t="shared" si="0"/>
        <v>76886.395475513054</v>
      </c>
      <c r="H12" s="4">
        <f t="shared" si="1"/>
        <v>1845273.4914123132</v>
      </c>
      <c r="I12" s="4">
        <f t="shared" si="2"/>
        <v>145273.49141231319</v>
      </c>
    </row>
    <row r="13" spans="1:9" x14ac:dyDescent="0.3">
      <c r="A13" s="1">
        <v>9</v>
      </c>
      <c r="B13" s="1" t="s">
        <v>18</v>
      </c>
      <c r="C13" s="2" t="s">
        <v>19</v>
      </c>
      <c r="D13" s="1">
        <v>2000000</v>
      </c>
      <c r="E13" s="3">
        <v>7.0000000000000007E-2</v>
      </c>
      <c r="F13" s="1">
        <v>3</v>
      </c>
      <c r="G13" s="4">
        <f t="shared" si="0"/>
        <v>61754.193730743886</v>
      </c>
      <c r="H13" s="4">
        <f t="shared" si="1"/>
        <v>2223150.9743067799</v>
      </c>
      <c r="I13" s="4">
        <f t="shared" si="2"/>
        <v>223150.97430677991</v>
      </c>
    </row>
    <row r="14" spans="1:9" x14ac:dyDescent="0.3">
      <c r="A14" s="1">
        <v>10</v>
      </c>
      <c r="B14" s="1" t="s">
        <v>13</v>
      </c>
      <c r="C14" s="2" t="s">
        <v>20</v>
      </c>
      <c r="D14" s="1">
        <v>2300000</v>
      </c>
      <c r="E14" s="3">
        <v>0.12</v>
      </c>
      <c r="F14" s="1">
        <v>4</v>
      </c>
      <c r="G14" s="4">
        <f t="shared" si="0"/>
        <v>60567.821493433861</v>
      </c>
      <c r="H14" s="4">
        <f t="shared" si="1"/>
        <v>2907255.4316848256</v>
      </c>
      <c r="I14" s="4">
        <f t="shared" si="2"/>
        <v>607255.43168482557</v>
      </c>
    </row>
    <row r="15" spans="1:9" x14ac:dyDescent="0.3">
      <c r="A15" s="1">
        <v>11</v>
      </c>
      <c r="B15" s="1" t="s">
        <v>14</v>
      </c>
      <c r="C15" s="2" t="s">
        <v>21</v>
      </c>
      <c r="D15" s="1">
        <v>2600000</v>
      </c>
      <c r="E15" s="3">
        <v>0.11</v>
      </c>
      <c r="F15" s="1">
        <v>2</v>
      </c>
      <c r="G15" s="4">
        <f t="shared" si="0"/>
        <v>121180.37931096517</v>
      </c>
      <c r="H15" s="4">
        <f t="shared" si="1"/>
        <v>2908329.1034631641</v>
      </c>
      <c r="I15" s="4">
        <f t="shared" si="2"/>
        <v>308329.10346316407</v>
      </c>
    </row>
    <row r="16" spans="1:9" x14ac:dyDescent="0.3">
      <c r="A16" s="1">
        <v>12</v>
      </c>
      <c r="B16" s="1" t="s">
        <v>15</v>
      </c>
      <c r="C16" s="2" t="s">
        <v>20</v>
      </c>
      <c r="D16" s="1">
        <v>2900000</v>
      </c>
      <c r="E16" s="3">
        <v>0.14000000000000001</v>
      </c>
      <c r="F16" s="1">
        <v>3</v>
      </c>
      <c r="G16" s="4">
        <f t="shared" si="0"/>
        <v>99115.126298274277</v>
      </c>
      <c r="H16" s="4">
        <f t="shared" si="1"/>
        <v>3568144.5467378739</v>
      </c>
      <c r="I16" s="4">
        <f t="shared" si="2"/>
        <v>668144.54673787393</v>
      </c>
    </row>
    <row r="17" spans="1:9" x14ac:dyDescent="0.3">
      <c r="A17" s="1">
        <v>13</v>
      </c>
      <c r="B17" s="1" t="s">
        <v>16</v>
      </c>
      <c r="C17" s="2" t="s">
        <v>19</v>
      </c>
      <c r="D17" s="1">
        <v>3200000</v>
      </c>
      <c r="E17" s="3">
        <v>0.12</v>
      </c>
      <c r="F17" s="1">
        <v>2</v>
      </c>
      <c r="G17" s="4">
        <f t="shared" si="0"/>
        <v>150635.11111444703</v>
      </c>
      <c r="H17" s="4">
        <f t="shared" si="1"/>
        <v>3615242.6667467291</v>
      </c>
      <c r="I17" s="4">
        <f t="shared" si="2"/>
        <v>415242.66674672905</v>
      </c>
    </row>
    <row r="18" spans="1:9" x14ac:dyDescent="0.3">
      <c r="A18" s="1">
        <v>14</v>
      </c>
      <c r="B18" s="1" t="s">
        <v>17</v>
      </c>
      <c r="C18" s="2" t="s">
        <v>20</v>
      </c>
      <c r="D18" s="1">
        <v>3500000</v>
      </c>
      <c r="E18" s="3">
        <v>0.13</v>
      </c>
      <c r="F18" s="1">
        <v>4</v>
      </c>
      <c r="G18" s="4">
        <f t="shared" si="0"/>
        <v>93896.235628177121</v>
      </c>
      <c r="H18" s="4">
        <f t="shared" si="1"/>
        <v>4507019.3101525018</v>
      </c>
      <c r="I18" s="4">
        <f t="shared" si="2"/>
        <v>1007019.3101525018</v>
      </c>
    </row>
    <row r="19" spans="1:9" x14ac:dyDescent="0.3">
      <c r="A19" s="1">
        <v>15</v>
      </c>
      <c r="B19" s="1" t="s">
        <v>18</v>
      </c>
      <c r="C19" s="2" t="s">
        <v>21</v>
      </c>
      <c r="D19" s="1">
        <v>3800000</v>
      </c>
      <c r="E19" s="3">
        <v>0.11</v>
      </c>
      <c r="F19" s="1">
        <v>4</v>
      </c>
      <c r="G19" s="4">
        <f t="shared" si="0"/>
        <v>98212.985923520697</v>
      </c>
      <c r="H19" s="4">
        <f t="shared" si="1"/>
        <v>4714223.3243289934</v>
      </c>
      <c r="I19" s="4">
        <f t="shared" si="2"/>
        <v>914223.32432899345</v>
      </c>
    </row>
    <row r="20" spans="1:9" x14ac:dyDescent="0.3">
      <c r="A20" s="1">
        <v>16</v>
      </c>
      <c r="B20" s="1" t="s">
        <v>13</v>
      </c>
      <c r="C20" s="2" t="s">
        <v>20</v>
      </c>
      <c r="D20" s="1">
        <v>4100000</v>
      </c>
      <c r="E20" s="3">
        <v>0.12</v>
      </c>
      <c r="F20" s="1">
        <v>2</v>
      </c>
      <c r="G20" s="4">
        <f t="shared" si="0"/>
        <v>193001.23611538528</v>
      </c>
      <c r="H20" s="4">
        <f t="shared" si="1"/>
        <v>4632029.6667692466</v>
      </c>
      <c r="I20" s="4">
        <f t="shared" si="2"/>
        <v>532029.66676924657</v>
      </c>
    </row>
    <row r="21" spans="1:9" x14ac:dyDescent="0.3">
      <c r="A21" s="1">
        <v>17</v>
      </c>
      <c r="B21" s="1" t="s">
        <v>14</v>
      </c>
      <c r="C21" s="2" t="s">
        <v>19</v>
      </c>
      <c r="D21" s="1">
        <v>4400000</v>
      </c>
      <c r="E21" s="3">
        <v>0.11</v>
      </c>
      <c r="F21" s="1">
        <v>3</v>
      </c>
      <c r="G21" s="4">
        <f t="shared" si="0"/>
        <v>144050.35531480898</v>
      </c>
      <c r="H21" s="4">
        <f t="shared" si="1"/>
        <v>5185812.7913331231</v>
      </c>
      <c r="I21" s="4">
        <f t="shared" si="2"/>
        <v>785812.79133312311</v>
      </c>
    </row>
    <row r="22" spans="1:9" x14ac:dyDescent="0.3">
      <c r="A22" s="1">
        <v>18</v>
      </c>
      <c r="B22" s="1" t="s">
        <v>15</v>
      </c>
      <c r="C22" s="2" t="s">
        <v>20</v>
      </c>
      <c r="D22" s="1">
        <v>4700000</v>
      </c>
      <c r="E22" s="3">
        <v>0.13</v>
      </c>
      <c r="F22" s="1">
        <v>5</v>
      </c>
      <c r="G22" s="4">
        <f t="shared" si="0"/>
        <v>106939.44330785291</v>
      </c>
      <c r="H22" s="4">
        <f t="shared" si="1"/>
        <v>6416366.598471174</v>
      </c>
      <c r="I22" s="4">
        <f t="shared" si="2"/>
        <v>1716366.598471174</v>
      </c>
    </row>
    <row r="23" spans="1:9" x14ac:dyDescent="0.3">
      <c r="A23" s="1">
        <v>19</v>
      </c>
      <c r="B23" s="1" t="s">
        <v>16</v>
      </c>
      <c r="C23" s="2" t="s">
        <v>21</v>
      </c>
      <c r="D23" s="1">
        <v>5000000</v>
      </c>
      <c r="E23" s="3">
        <v>0.1</v>
      </c>
      <c r="F23" s="1">
        <v>4</v>
      </c>
      <c r="G23" s="4">
        <f t="shared" si="0"/>
        <v>126812.91717373593</v>
      </c>
      <c r="H23" s="4">
        <f t="shared" si="1"/>
        <v>6087020.0243393248</v>
      </c>
      <c r="I23" s="4">
        <f t="shared" si="2"/>
        <v>1087020.0243393248</v>
      </c>
    </row>
    <row r="24" spans="1:9" x14ac:dyDescent="0.3">
      <c r="A24" s="1">
        <v>20</v>
      </c>
      <c r="B24" s="1" t="s">
        <v>17</v>
      </c>
      <c r="C24" s="2" t="s">
        <v>20</v>
      </c>
      <c r="D24" s="1">
        <v>5300000</v>
      </c>
      <c r="E24" s="3">
        <v>0.09</v>
      </c>
      <c r="F24" s="1">
        <v>3</v>
      </c>
      <c r="G24" s="4">
        <f t="shared" si="0"/>
        <v>168538.58309768562</v>
      </c>
      <c r="H24" s="4">
        <f t="shared" si="1"/>
        <v>6067388.9915166833</v>
      </c>
      <c r="I24" s="4">
        <f t="shared" si="2"/>
        <v>767388.99151668325</v>
      </c>
    </row>
    <row r="25" spans="1:9" x14ac:dyDescent="0.3">
      <c r="A25" s="1">
        <v>21</v>
      </c>
      <c r="B25" s="1" t="s">
        <v>18</v>
      </c>
      <c r="C25" s="2" t="s">
        <v>19</v>
      </c>
      <c r="D25" s="1">
        <v>5600000</v>
      </c>
      <c r="E25" s="3">
        <v>0.08</v>
      </c>
      <c r="F25" s="1">
        <v>2</v>
      </c>
      <c r="G25" s="4">
        <f t="shared" si="0"/>
        <v>253272.83215463124</v>
      </c>
      <c r="H25" s="4">
        <f t="shared" si="1"/>
        <v>6078547.9717111494</v>
      </c>
      <c r="I25" s="4">
        <f t="shared" si="2"/>
        <v>478547.97171114944</v>
      </c>
    </row>
    <row r="26" spans="1:9" x14ac:dyDescent="0.3">
      <c r="A26" s="1">
        <v>22</v>
      </c>
      <c r="B26" s="1" t="s">
        <v>13</v>
      </c>
      <c r="C26" s="2" t="s">
        <v>20</v>
      </c>
      <c r="D26" s="1">
        <v>5900000</v>
      </c>
      <c r="E26" s="3">
        <v>0.11</v>
      </c>
      <c r="F26" s="1">
        <v>1</v>
      </c>
      <c r="G26" s="4">
        <f t="shared" si="0"/>
        <v>521451.78527746379</v>
      </c>
      <c r="H26" s="4">
        <f t="shared" si="1"/>
        <v>6257421.4233295657</v>
      </c>
      <c r="I26" s="4">
        <f t="shared" si="2"/>
        <v>357421.42332956567</v>
      </c>
    </row>
    <row r="27" spans="1:9" x14ac:dyDescent="0.3">
      <c r="A27" s="1">
        <v>23</v>
      </c>
      <c r="B27" s="1" t="s">
        <v>14</v>
      </c>
      <c r="C27" s="2" t="s">
        <v>21</v>
      </c>
      <c r="D27" s="1">
        <v>6200000</v>
      </c>
      <c r="E27" s="3">
        <v>0.1</v>
      </c>
      <c r="F27" s="1">
        <v>2</v>
      </c>
      <c r="G27" s="4">
        <f t="shared" si="0"/>
        <v>286098.54329260235</v>
      </c>
      <c r="H27" s="4">
        <f t="shared" si="1"/>
        <v>6866365.0390224569</v>
      </c>
      <c r="I27" s="4">
        <f t="shared" si="2"/>
        <v>666365.03902245685</v>
      </c>
    </row>
  </sheetData>
  <mergeCells count="2">
    <mergeCell ref="A1:I2"/>
    <mergeCell ref="A3:I3"/>
  </mergeCells>
  <dataValidations count="1">
    <dataValidation type="list" allowBlank="1" showInputMessage="1" showErrorMessage="1" sqref="C5:C27" xr:uid="{50E545DF-3E25-48A6-AFB5-817D1C80F1A0}">
      <formula1>"Personal,Home,Car"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2026-08-31T05:36:19Z</dcterms:created>
  <dcterms:modified xsi:type="dcterms:W3CDTF">2026-08-31T06:25:25Z</dcterms:modified>
</cp:coreProperties>
</file>