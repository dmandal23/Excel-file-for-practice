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Marks" sheetId="5" state="visible" r:id="rId5"/>
    <sheet xmlns:r="http://schemas.openxmlformats.org/officeDocument/2006/relationships" name="Result Summary" sheetId="6" state="visible" r:id="rId6"/>
    <sheet xmlns:r="http://schemas.openxmlformats.org/officeDocument/2006/relationships" name="Attendance" sheetId="7" state="visible" r:id="rId7"/>
    <sheet xmlns:r="http://schemas.openxmlformats.org/officeDocument/2006/relationships" name="Fees" sheetId="8" state="visible" r:id="rId8"/>
    <sheet xmlns:r="http://schemas.openxmlformats.org/officeDocument/2006/relationships" name="Teachers" sheetId="9" state="visible" r:id="rId9"/>
    <sheet xmlns:r="http://schemas.openxmlformats.org/officeDocument/2006/relationships" name="Instructions" sheetId="10" state="visible" r:id="rId10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  <font>
      <b val="1"/>
      <color rgb="00FFFFFF"/>
      <sz val="11"/>
    </font>
    <font>
      <b val="1"/>
      <color rgb="0017365D"/>
      <sz val="18"/>
    </font>
    <font>
      <b val="1"/>
      <color rgb="0017365D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 Collection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'Dashboard'!$J$4:$J$6</f>
            </numRef>
          </cat>
          <val>
            <numRef>
              <f>'Dashboard'!$K$4:$K$6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sTable" displayName="StudentsTable" ref="A3:R203" headerRowCount="1">
  <autoFilter ref="A3:R203"/>
  <tableColumns count="18">
    <tableColumn id="1" name="Student ID"/>
    <tableColumn id="2" name="Registration No"/>
    <tableColumn id="3" name="Admission Date"/>
    <tableColumn id="4" name="Academic Year"/>
    <tableColumn id="5" name="Class"/>
    <tableColumn id="6" name="Section"/>
    <tableColumn id="7" name="Roll No"/>
    <tableColumn id="8" name="Student Name"/>
    <tableColumn id="9" name="Gender"/>
    <tableColumn id="10" name="Date of Birth"/>
    <tableColumn id="11" name="Father Name"/>
    <tableColumn id="12" name="Mother Name"/>
    <tableColumn id="13" name="Guardian Phone"/>
    <tableColumn id="14" name="Address"/>
    <tableColumn id="15" name="Previous School"/>
    <tableColumn id="16" name="Blood Group"/>
    <tableColumn id="17" name="Status"/>
    <tableColumn id="18" name="Remark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ubjectsTable" displayName="SubjectsTable" ref="A3:H103" headerRowCount="1">
  <autoFilter ref="A3:H103"/>
  <tableColumns count="8">
    <tableColumn id="1" name="Subject ID"/>
    <tableColumn id="2" name="Subject Name"/>
    <tableColumn id="3" name="Class"/>
    <tableColumn id="4" name="Full Marks"/>
    <tableColumn id="5" name="Pass Marks"/>
    <tableColumn id="6" name="Theory Marks"/>
    <tableColumn id="7" name="Practical Marks"/>
    <tableColumn id="8" name="Statu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MarksTable" displayName="MarksTable" ref="A3:P503" headerRowCount="1">
  <autoFilter ref="A3:P503"/>
  <tableColumns count="16">
    <tableColumn id="1" name="Exam"/>
    <tableColumn id="2" name="Academic Year"/>
    <tableColumn id="3" name="Student ID"/>
    <tableColumn id="4" name="Student Name"/>
    <tableColumn id="5" name="Class"/>
    <tableColumn id="6" name="Section"/>
    <tableColumn id="7" name="Subject"/>
    <tableColumn id="8" name="Full Marks"/>
    <tableColumn id="9" name="Pass Marks"/>
    <tableColumn id="10" name="Theory"/>
    <tableColumn id="11" name="Practical"/>
    <tableColumn id="12" name="Total"/>
    <tableColumn id="13" name="Percentage"/>
    <tableColumn id="14" name="Grade"/>
    <tableColumn id="15" name="Result"/>
    <tableColumn id="16" name="Remark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ResultSummaryTable" displayName="ResultSummaryTable" ref="A3:L203" headerRowCount="1">
  <autoFilter ref="A3:L203"/>
  <tableColumns count="12">
    <tableColumn id="1" name="Student ID"/>
    <tableColumn id="2" name="Student Name"/>
    <tableColumn id="3" name="Class"/>
    <tableColumn id="4" name="Section"/>
    <tableColumn id="5" name="Exam"/>
    <tableColumn id="6" name="Subjects"/>
    <tableColumn id="7" name="Total Obtained"/>
    <tableColumn id="8" name="Total Full Marks"/>
    <tableColumn id="9" name="Percentage"/>
    <tableColumn id="10" name="Grade"/>
    <tableColumn id="11" name="Result"/>
    <tableColumn id="12" name="Rank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AttendanceTable" displayName="AttendanceTable" ref="A3:J503" headerRowCount="1">
  <autoFilter ref="A3:J503"/>
  <tableColumns count="10">
    <tableColumn id="1" name="Date"/>
    <tableColumn id="2" name="Student ID"/>
    <tableColumn id="3" name="Student Name"/>
    <tableColumn id="4" name="Class"/>
    <tableColumn id="5" name="Section"/>
    <tableColumn id="6" name="Status"/>
    <tableColumn id="7" name="In Time"/>
    <tableColumn id="8" name="Out Time"/>
    <tableColumn id="9" name="Hours"/>
    <tableColumn id="10" name="Remark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FeesTable" displayName="FeesTable" ref="A3:L303" headerRowCount="1">
  <autoFilter ref="A3:L303"/>
  <tableColumns count="12">
    <tableColumn id="1" name="Receipt No"/>
    <tableColumn id="2" name="Date"/>
    <tableColumn id="3" name="Student ID"/>
    <tableColumn id="4" name="Student Name"/>
    <tableColumn id="5" name="Class"/>
    <tableColumn id="6" name="Fee Type"/>
    <tableColumn id="7" name="Amount"/>
    <tableColumn id="8" name="Paid"/>
    <tableColumn id="9" name="Due"/>
    <tableColumn id="10" name="Payment Method"/>
    <tableColumn id="11" name="Status"/>
    <tableColumn id="12" name="Remark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eachersTable" displayName="TeachersTable" ref="A3:J103" headerRowCount="1">
  <autoFilter ref="A3:J103"/>
  <tableColumns count="10">
    <tableColumn id="1" name="Teacher ID"/>
    <tableColumn id="2" name="Teacher Name"/>
    <tableColumn id="3" name="Subject"/>
    <tableColumn id="4" name="Phone"/>
    <tableColumn id="5" name="Email"/>
    <tableColumn id="6" name="Join Date"/>
    <tableColumn id="7" name="Qualification"/>
    <tableColumn id="8" name="Salary"/>
    <tableColumn id="9" name="Status"/>
    <tableColumn id="10" name="Remark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5" customWidth="1" min="3" max="3"/>
    <col width="23" customWidth="1" min="4" max="4"/>
    <col width="18" customWidth="1" min="5" max="5"/>
    <col width="5" customWidth="1" min="6" max="6"/>
    <col width="23" customWidth="1" min="7" max="7"/>
    <col width="18" customWidth="1" min="8" max="8"/>
    <col hidden="1" width="13" customWidth="1" min="10" max="10"/>
    <col hidden="1" width="13" customWidth="1" min="11" max="11"/>
  </cols>
  <sheetData>
    <row r="1" ht="30" customHeight="1">
      <c r="A1" s="1" t="inlineStr">
        <is>
          <t>SCHOOL MANAGEMENT DASHBOARD</t>
        </is>
      </c>
    </row>
    <row r="3">
      <c r="A3" s="2" t="inlineStr">
        <is>
          <t>Total Students</t>
        </is>
      </c>
      <c r="D3" s="2" t="inlineStr">
        <is>
          <t>Active Students</t>
        </is>
      </c>
      <c r="G3" s="2" t="inlineStr">
        <is>
          <t>Total Teachers</t>
        </is>
      </c>
      <c r="J3" t="inlineStr">
        <is>
          <t>Fee Metric</t>
        </is>
      </c>
      <c r="K3" t="inlineStr">
        <is>
          <t>Amount</t>
        </is>
      </c>
    </row>
    <row r="4">
      <c r="A4" s="3">
        <f>COUNTA(Students!H4:H203)</f>
        <v/>
      </c>
      <c r="D4" s="3">
        <f>COUNTIF(Students!Q4:Q203,"Active")</f>
        <v/>
      </c>
      <c r="G4" s="3">
        <f>COUNTA(Teachers!B4:B103)</f>
        <v/>
      </c>
      <c r="J4" t="inlineStr">
        <is>
          <t>Total Fees</t>
        </is>
      </c>
      <c r="K4">
        <f>SUM(Fees!G4:G303)</f>
        <v/>
      </c>
    </row>
    <row r="5">
      <c r="J5" t="inlineStr">
        <is>
          <t>Collected</t>
        </is>
      </c>
      <c r="K5">
        <f>SUM(Fees!H4:H303)</f>
        <v/>
      </c>
    </row>
    <row r="6">
      <c r="A6" s="2" t="inlineStr">
        <is>
          <t>Total Fees</t>
        </is>
      </c>
      <c r="D6" s="2" t="inlineStr">
        <is>
          <t>Fees Collected</t>
        </is>
      </c>
      <c r="G6" s="2" t="inlineStr">
        <is>
          <t>Fees Due</t>
        </is>
      </c>
      <c r="J6" t="inlineStr">
        <is>
          <t>Due</t>
        </is>
      </c>
      <c r="K6">
        <f>SUM(Fees!I4:I303)</f>
        <v/>
      </c>
    </row>
    <row r="7">
      <c r="A7" s="3">
        <f>SUM(Fees!G4:G303)</f>
        <v/>
      </c>
      <c r="D7" s="3">
        <f>SUM(Fees!H4:H303)</f>
        <v/>
      </c>
      <c r="G7" s="3">
        <f>SUM(Fees!I4:I303)</f>
        <v/>
      </c>
    </row>
    <row r="9">
      <c r="A9" s="2" t="inlineStr">
        <is>
          <t>Pass Records</t>
        </is>
      </c>
      <c r="D9" s="2" t="inlineStr">
        <is>
          <t>Fail Records</t>
        </is>
      </c>
      <c r="G9" s="2" t="inlineStr">
        <is>
          <t>Average Marks %</t>
        </is>
      </c>
    </row>
    <row r="10">
      <c r="A10" s="3">
        <f>COUNTIF(Marks!O4:O503,"PASS")</f>
        <v/>
      </c>
      <c r="D10" s="3">
        <f>COUNTIF(Marks!O4:O503,"FAIL")</f>
        <v/>
      </c>
      <c r="G10" s="3">
        <f>IFERROR(AVERAGE(Marks!M4:M503),0)</f>
        <v/>
      </c>
    </row>
    <row r="13">
      <c r="A13" s="4" t="inlineStr">
        <is>
          <t>Quick Workflow</t>
        </is>
      </c>
    </row>
    <row r="14">
      <c r="A14" s="5" t="inlineStr">
        <is>
          <t>1. Enter/update Students in the Student Registration sheet.</t>
        </is>
      </c>
    </row>
    <row r="15">
      <c r="A15" s="5" t="inlineStr">
        <is>
          <t>2. Add subjects and full/pass marks in Subject Master.</t>
        </is>
      </c>
    </row>
    <row r="16">
      <c r="A16" s="5" t="inlineStr">
        <is>
          <t>3. Record daily attendance.</t>
        </is>
      </c>
    </row>
    <row r="17">
      <c r="A17" s="5" t="inlineStr">
        <is>
          <t>4. Record fees/receipts and monitor outstanding dues.</t>
        </is>
      </c>
    </row>
    <row r="18">
      <c r="A18" s="5" t="inlineStr">
        <is>
          <t>5. Enter exam marks; totals, percentage, grade and pass/fail calculate automatically.</t>
        </is>
      </c>
    </row>
    <row r="19">
      <c r="A19" s="5" t="inlineStr">
        <is>
          <t>6. Use Result Summary for report preparation.</t>
        </is>
      </c>
    </row>
    <row r="20">
      <c r="A20" s="5" t="inlineStr">
        <is>
          <t>7. Review Dashboard for management KPIs and monthly decisions.</t>
        </is>
      </c>
    </row>
  </sheetData>
  <mergeCells count="26">
    <mergeCell ref="D10:E10"/>
    <mergeCell ref="A15:H15"/>
    <mergeCell ref="A1:H1"/>
    <mergeCell ref="A6:B6"/>
    <mergeCell ref="D6:E6"/>
    <mergeCell ref="A7:B7"/>
    <mergeCell ref="G7:H7"/>
    <mergeCell ref="G10:H10"/>
    <mergeCell ref="A16:H16"/>
    <mergeCell ref="G6:H6"/>
    <mergeCell ref="A3:B3"/>
    <mergeCell ref="G3:H3"/>
    <mergeCell ref="A18:H18"/>
    <mergeCell ref="D7:E7"/>
    <mergeCell ref="D4:E4"/>
    <mergeCell ref="A14:H14"/>
    <mergeCell ref="D9:E9"/>
    <mergeCell ref="D3:E3"/>
    <mergeCell ref="A17:H17"/>
    <mergeCell ref="A4:B4"/>
    <mergeCell ref="G4:H4"/>
    <mergeCell ref="A20:H20"/>
    <mergeCell ref="A10:B10"/>
    <mergeCell ref="A19:H19"/>
    <mergeCell ref="A9:B9"/>
    <mergeCell ref="G9:H9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School Management System — Settings</t>
        </is>
      </c>
    </row>
    <row r="3">
      <c r="A3" s="6" t="inlineStr">
        <is>
          <t>Academic Years</t>
        </is>
      </c>
      <c r="B3" t="inlineStr">
        <is>
          <t>2026/27</t>
        </is>
      </c>
    </row>
    <row r="4">
      <c r="A4" s="6" t="inlineStr">
        <is>
          <t>Classes</t>
        </is>
      </c>
      <c r="B4" t="inlineStr">
        <is>
          <t>Nursery</t>
        </is>
      </c>
      <c r="C4" t="inlineStr">
        <is>
          <t>LKG</t>
        </is>
      </c>
      <c r="D4" t="inlineStr">
        <is>
          <t>UKG</t>
        </is>
      </c>
      <c r="E4" t="inlineStr">
        <is>
          <t>1</t>
        </is>
      </c>
      <c r="F4" t="inlineStr">
        <is>
          <t>2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6</t>
        </is>
      </c>
      <c r="K4" t="inlineStr">
        <is>
          <t>7</t>
        </is>
      </c>
      <c r="L4" t="inlineStr">
        <is>
          <t>8</t>
        </is>
      </c>
      <c r="M4" t="inlineStr">
        <is>
          <t>9</t>
        </is>
      </c>
      <c r="N4" t="inlineStr">
        <is>
          <t>10</t>
        </is>
      </c>
      <c r="O4" t="inlineStr">
        <is>
          <t>11</t>
        </is>
      </c>
      <c r="P4" t="inlineStr">
        <is>
          <t>12</t>
        </is>
      </c>
    </row>
    <row r="5">
      <c r="A5" s="6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Other</t>
        </is>
      </c>
    </row>
    <row r="6">
      <c r="A6" s="6" t="inlineStr">
        <is>
          <t>Student Status</t>
        </is>
      </c>
      <c r="B6" t="inlineStr">
        <is>
          <t>Active</t>
        </is>
      </c>
      <c r="C6" t="inlineStr">
        <is>
          <t>Inactive</t>
        </is>
      </c>
      <c r="D6" t="inlineStr">
        <is>
          <t>Transferred</t>
        </is>
      </c>
      <c r="E6" t="inlineStr">
        <is>
          <t>Graduated</t>
        </is>
      </c>
    </row>
    <row r="7">
      <c r="A7" s="6" t="inlineStr">
        <is>
          <t>Attendance</t>
        </is>
      </c>
      <c r="B7" t="inlineStr">
        <is>
          <t>Present</t>
        </is>
      </c>
      <c r="C7" t="inlineStr">
        <is>
          <t>Absent</t>
        </is>
      </c>
      <c r="D7" t="inlineStr">
        <is>
          <t>Late</t>
        </is>
      </c>
      <c r="E7" t="inlineStr">
        <is>
          <t>Leave</t>
        </is>
      </c>
    </row>
    <row r="8">
      <c r="A8" s="6" t="inlineStr">
        <is>
          <t>Payment Status</t>
        </is>
      </c>
      <c r="B8" t="inlineStr">
        <is>
          <t>Paid</t>
        </is>
      </c>
      <c r="C8" t="inlineStr">
        <is>
          <t>Partial</t>
        </is>
      </c>
      <c r="D8" t="inlineStr">
        <is>
          <t>Due</t>
        </is>
      </c>
    </row>
    <row r="9">
      <c r="A9" s="6" t="inlineStr">
        <is>
          <t>Exam</t>
        </is>
      </c>
      <c r="B9" t="inlineStr">
        <is>
          <t>First Term</t>
        </is>
      </c>
      <c r="C9" t="inlineStr">
        <is>
          <t>Mid Term</t>
        </is>
      </c>
      <c r="D9" t="inlineStr">
        <is>
          <t>Final Term</t>
        </is>
      </c>
      <c r="E9" t="inlineStr">
        <is>
          <t>Unit Test</t>
        </is>
      </c>
    </row>
  </sheetData>
  <mergeCells count="1">
    <mergeCell ref="A1:F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2" customWidth="1" min="5" max="5"/>
    <col width="10" customWidth="1" min="6" max="6"/>
    <col width="10" customWidth="1" min="7" max="7"/>
    <col width="24" customWidth="1" min="8" max="8"/>
    <col width="11" customWidth="1" min="9" max="9"/>
    <col width="14" customWidth="1" min="10" max="10"/>
    <col width="22" customWidth="1" min="11" max="11"/>
    <col width="22" customWidth="1" min="12" max="12"/>
    <col width="16" customWidth="1" min="13" max="13"/>
    <col width="30" customWidth="1" min="14" max="14"/>
    <col width="22" customWidth="1" min="15" max="15"/>
    <col width="14" customWidth="1" min="16" max="16"/>
    <col width="14" customWidth="1" min="17" max="17"/>
    <col width="25" customWidth="1" min="18" max="18"/>
  </cols>
  <sheetData>
    <row r="1" ht="30" customHeight="1">
      <c r="A1" s="1" t="inlineStr">
        <is>
          <t>Student Registration</t>
        </is>
      </c>
    </row>
    <row r="3">
      <c r="A3" s="7" t="inlineStr">
        <is>
          <t>Student ID</t>
        </is>
      </c>
      <c r="B3" s="7" t="inlineStr">
        <is>
          <t>Registration No</t>
        </is>
      </c>
      <c r="C3" s="7" t="inlineStr">
        <is>
          <t>Admission Date</t>
        </is>
      </c>
      <c r="D3" s="7" t="inlineStr">
        <is>
          <t>Academic Year</t>
        </is>
      </c>
      <c r="E3" s="7" t="inlineStr">
        <is>
          <t>Class</t>
        </is>
      </c>
      <c r="F3" s="7" t="inlineStr">
        <is>
          <t>Section</t>
        </is>
      </c>
      <c r="G3" s="7" t="inlineStr">
        <is>
          <t>Roll No</t>
        </is>
      </c>
      <c r="H3" s="7" t="inlineStr">
        <is>
          <t>Student Name</t>
        </is>
      </c>
      <c r="I3" s="7" t="inlineStr">
        <is>
          <t>Gender</t>
        </is>
      </c>
      <c r="J3" s="7" t="inlineStr">
        <is>
          <t>Date of Birth</t>
        </is>
      </c>
      <c r="K3" s="7" t="inlineStr">
        <is>
          <t>Father Name</t>
        </is>
      </c>
      <c r="L3" s="7" t="inlineStr">
        <is>
          <t>Mother Name</t>
        </is>
      </c>
      <c r="M3" s="7" t="inlineStr">
        <is>
          <t>Guardian Phone</t>
        </is>
      </c>
      <c r="N3" s="7" t="inlineStr">
        <is>
          <t>Address</t>
        </is>
      </c>
      <c r="O3" s="7" t="inlineStr">
        <is>
          <t>Previous School</t>
        </is>
      </c>
      <c r="P3" s="7" t="inlineStr">
        <is>
          <t>Blood Group</t>
        </is>
      </c>
      <c r="Q3" s="7" t="inlineStr">
        <is>
          <t>Status</t>
        </is>
      </c>
      <c r="R3" s="7" t="inlineStr">
        <is>
          <t>Remarks</t>
        </is>
      </c>
    </row>
    <row r="4">
      <c r="A4">
        <f>IF(H4="","",ROW()-3)</f>
        <v/>
      </c>
      <c r="C4" s="8" t="n"/>
      <c r="J4" s="8" t="n"/>
      <c r="Q4" t="inlineStr">
        <is>
          <t>Active</t>
        </is>
      </c>
    </row>
    <row r="5">
      <c r="A5">
        <f>IF(H5="","",ROW()-3)</f>
        <v/>
      </c>
      <c r="C5" s="8" t="n"/>
      <c r="J5" s="8" t="n"/>
      <c r="Q5" t="inlineStr">
        <is>
          <t>Active</t>
        </is>
      </c>
    </row>
    <row r="6">
      <c r="A6">
        <f>IF(H6="","",ROW()-3)</f>
        <v/>
      </c>
      <c r="C6" s="8" t="n"/>
      <c r="J6" s="8" t="n"/>
      <c r="Q6" t="inlineStr">
        <is>
          <t>Active</t>
        </is>
      </c>
    </row>
    <row r="7">
      <c r="A7">
        <f>IF(H7="","",ROW()-3)</f>
        <v/>
      </c>
      <c r="C7" s="8" t="n"/>
      <c r="J7" s="8" t="n"/>
      <c r="Q7" t="inlineStr">
        <is>
          <t>Active</t>
        </is>
      </c>
    </row>
    <row r="8">
      <c r="A8">
        <f>IF(H8="","",ROW()-3)</f>
        <v/>
      </c>
      <c r="C8" s="8" t="n"/>
      <c r="J8" s="8" t="n"/>
      <c r="Q8" t="inlineStr">
        <is>
          <t>Active</t>
        </is>
      </c>
    </row>
    <row r="9">
      <c r="A9">
        <f>IF(H9="","",ROW()-3)</f>
        <v/>
      </c>
      <c r="C9" s="8" t="n"/>
      <c r="J9" s="8" t="n"/>
      <c r="Q9" t="inlineStr">
        <is>
          <t>Active</t>
        </is>
      </c>
    </row>
    <row r="10">
      <c r="A10">
        <f>IF(H10="","",ROW()-3)</f>
        <v/>
      </c>
      <c r="C10" s="8" t="n"/>
      <c r="J10" s="8" t="n"/>
      <c r="Q10" t="inlineStr">
        <is>
          <t>Active</t>
        </is>
      </c>
    </row>
    <row r="11">
      <c r="A11">
        <f>IF(H11="","",ROW()-3)</f>
        <v/>
      </c>
      <c r="C11" s="8" t="n"/>
      <c r="J11" s="8" t="n"/>
      <c r="Q11" t="inlineStr">
        <is>
          <t>Active</t>
        </is>
      </c>
    </row>
    <row r="12">
      <c r="A12">
        <f>IF(H12="","",ROW()-3)</f>
        <v/>
      </c>
      <c r="C12" s="8" t="n"/>
      <c r="J12" s="8" t="n"/>
      <c r="Q12" t="inlineStr">
        <is>
          <t>Active</t>
        </is>
      </c>
    </row>
    <row r="13">
      <c r="A13">
        <f>IF(H13="","",ROW()-3)</f>
        <v/>
      </c>
      <c r="C13" s="8" t="n"/>
      <c r="J13" s="8" t="n"/>
      <c r="Q13" t="inlineStr">
        <is>
          <t>Active</t>
        </is>
      </c>
    </row>
    <row r="14">
      <c r="A14">
        <f>IF(H14="","",ROW()-3)</f>
        <v/>
      </c>
      <c r="C14" s="8" t="n"/>
      <c r="J14" s="8" t="n"/>
      <c r="Q14" t="inlineStr">
        <is>
          <t>Active</t>
        </is>
      </c>
    </row>
    <row r="15">
      <c r="A15">
        <f>IF(H15="","",ROW()-3)</f>
        <v/>
      </c>
      <c r="C15" s="8" t="n"/>
      <c r="J15" s="8" t="n"/>
      <c r="Q15" t="inlineStr">
        <is>
          <t>Active</t>
        </is>
      </c>
    </row>
    <row r="16">
      <c r="A16">
        <f>IF(H16="","",ROW()-3)</f>
        <v/>
      </c>
      <c r="C16" s="8" t="n"/>
      <c r="J16" s="8" t="n"/>
      <c r="Q16" t="inlineStr">
        <is>
          <t>Active</t>
        </is>
      </c>
    </row>
    <row r="17">
      <c r="A17">
        <f>IF(H17="","",ROW()-3)</f>
        <v/>
      </c>
      <c r="C17" s="8" t="n"/>
      <c r="J17" s="8" t="n"/>
      <c r="Q17" t="inlineStr">
        <is>
          <t>Active</t>
        </is>
      </c>
    </row>
    <row r="18">
      <c r="A18">
        <f>IF(H18="","",ROW()-3)</f>
        <v/>
      </c>
      <c r="C18" s="8" t="n"/>
      <c r="J18" s="8" t="n"/>
      <c r="Q18" t="inlineStr">
        <is>
          <t>Active</t>
        </is>
      </c>
    </row>
    <row r="19">
      <c r="A19">
        <f>IF(H19="","",ROW()-3)</f>
        <v/>
      </c>
      <c r="C19" s="8" t="n"/>
      <c r="J19" s="8" t="n"/>
      <c r="Q19" t="inlineStr">
        <is>
          <t>Active</t>
        </is>
      </c>
    </row>
    <row r="20">
      <c r="A20">
        <f>IF(H20="","",ROW()-3)</f>
        <v/>
      </c>
      <c r="C20" s="8" t="n"/>
      <c r="J20" s="8" t="n"/>
      <c r="Q20" t="inlineStr">
        <is>
          <t>Active</t>
        </is>
      </c>
    </row>
    <row r="21">
      <c r="A21">
        <f>IF(H21="","",ROW()-3)</f>
        <v/>
      </c>
      <c r="C21" s="8" t="n"/>
      <c r="J21" s="8" t="n"/>
      <c r="Q21" t="inlineStr">
        <is>
          <t>Active</t>
        </is>
      </c>
    </row>
    <row r="22">
      <c r="A22">
        <f>IF(H22="","",ROW()-3)</f>
        <v/>
      </c>
      <c r="C22" s="8" t="n"/>
      <c r="J22" s="8" t="n"/>
      <c r="Q22" t="inlineStr">
        <is>
          <t>Active</t>
        </is>
      </c>
    </row>
    <row r="23">
      <c r="A23">
        <f>IF(H23="","",ROW()-3)</f>
        <v/>
      </c>
      <c r="C23" s="8" t="n"/>
      <c r="J23" s="8" t="n"/>
      <c r="Q23" t="inlineStr">
        <is>
          <t>Active</t>
        </is>
      </c>
    </row>
    <row r="24">
      <c r="A24">
        <f>IF(H24="","",ROW()-3)</f>
        <v/>
      </c>
      <c r="C24" s="8" t="n"/>
      <c r="J24" s="8" t="n"/>
      <c r="Q24" t="inlineStr">
        <is>
          <t>Active</t>
        </is>
      </c>
    </row>
    <row r="25">
      <c r="A25">
        <f>IF(H25="","",ROW()-3)</f>
        <v/>
      </c>
      <c r="C25" s="8" t="n"/>
      <c r="J25" s="8" t="n"/>
      <c r="Q25" t="inlineStr">
        <is>
          <t>Active</t>
        </is>
      </c>
    </row>
    <row r="26">
      <c r="A26">
        <f>IF(H26="","",ROW()-3)</f>
        <v/>
      </c>
      <c r="C26" s="8" t="n"/>
      <c r="J26" s="8" t="n"/>
      <c r="Q26" t="inlineStr">
        <is>
          <t>Active</t>
        </is>
      </c>
    </row>
    <row r="27">
      <c r="A27">
        <f>IF(H27="","",ROW()-3)</f>
        <v/>
      </c>
      <c r="C27" s="8" t="n"/>
      <c r="J27" s="8" t="n"/>
      <c r="Q27" t="inlineStr">
        <is>
          <t>Active</t>
        </is>
      </c>
    </row>
    <row r="28">
      <c r="A28">
        <f>IF(H28="","",ROW()-3)</f>
        <v/>
      </c>
      <c r="C28" s="8" t="n"/>
      <c r="J28" s="8" t="n"/>
      <c r="Q28" t="inlineStr">
        <is>
          <t>Active</t>
        </is>
      </c>
    </row>
    <row r="29">
      <c r="A29">
        <f>IF(H29="","",ROW()-3)</f>
        <v/>
      </c>
      <c r="C29" s="8" t="n"/>
      <c r="J29" s="8" t="n"/>
      <c r="Q29" t="inlineStr">
        <is>
          <t>Active</t>
        </is>
      </c>
    </row>
    <row r="30">
      <c r="A30">
        <f>IF(H30="","",ROW()-3)</f>
        <v/>
      </c>
      <c r="C30" s="8" t="n"/>
      <c r="J30" s="8" t="n"/>
      <c r="Q30" t="inlineStr">
        <is>
          <t>Active</t>
        </is>
      </c>
    </row>
    <row r="31">
      <c r="A31">
        <f>IF(H31="","",ROW()-3)</f>
        <v/>
      </c>
      <c r="C31" s="8" t="n"/>
      <c r="J31" s="8" t="n"/>
      <c r="Q31" t="inlineStr">
        <is>
          <t>Active</t>
        </is>
      </c>
    </row>
    <row r="32">
      <c r="A32">
        <f>IF(H32="","",ROW()-3)</f>
        <v/>
      </c>
      <c r="C32" s="8" t="n"/>
      <c r="J32" s="8" t="n"/>
      <c r="Q32" t="inlineStr">
        <is>
          <t>Active</t>
        </is>
      </c>
    </row>
    <row r="33">
      <c r="A33">
        <f>IF(H33="","",ROW()-3)</f>
        <v/>
      </c>
      <c r="C33" s="8" t="n"/>
      <c r="J33" s="8" t="n"/>
      <c r="Q33" t="inlineStr">
        <is>
          <t>Active</t>
        </is>
      </c>
    </row>
    <row r="34">
      <c r="A34">
        <f>IF(H34="","",ROW()-3)</f>
        <v/>
      </c>
      <c r="C34" s="8" t="n"/>
      <c r="J34" s="8" t="n"/>
      <c r="Q34" t="inlineStr">
        <is>
          <t>Active</t>
        </is>
      </c>
    </row>
    <row r="35">
      <c r="A35">
        <f>IF(H35="","",ROW()-3)</f>
        <v/>
      </c>
      <c r="C35" s="8" t="n"/>
      <c r="J35" s="8" t="n"/>
      <c r="Q35" t="inlineStr">
        <is>
          <t>Active</t>
        </is>
      </c>
    </row>
    <row r="36">
      <c r="A36">
        <f>IF(H36="","",ROW()-3)</f>
        <v/>
      </c>
      <c r="C36" s="8" t="n"/>
      <c r="J36" s="8" t="n"/>
      <c r="Q36" t="inlineStr">
        <is>
          <t>Active</t>
        </is>
      </c>
    </row>
    <row r="37">
      <c r="A37">
        <f>IF(H37="","",ROW()-3)</f>
        <v/>
      </c>
      <c r="C37" s="8" t="n"/>
      <c r="J37" s="8" t="n"/>
      <c r="Q37" t="inlineStr">
        <is>
          <t>Active</t>
        </is>
      </c>
    </row>
    <row r="38">
      <c r="A38">
        <f>IF(H38="","",ROW()-3)</f>
        <v/>
      </c>
      <c r="C38" s="8" t="n"/>
      <c r="J38" s="8" t="n"/>
      <c r="Q38" t="inlineStr">
        <is>
          <t>Active</t>
        </is>
      </c>
    </row>
    <row r="39">
      <c r="A39">
        <f>IF(H39="","",ROW()-3)</f>
        <v/>
      </c>
      <c r="C39" s="8" t="n"/>
      <c r="J39" s="8" t="n"/>
      <c r="Q39" t="inlineStr">
        <is>
          <t>Active</t>
        </is>
      </c>
    </row>
    <row r="40">
      <c r="A40">
        <f>IF(H40="","",ROW()-3)</f>
        <v/>
      </c>
      <c r="C40" s="8" t="n"/>
      <c r="J40" s="8" t="n"/>
      <c r="Q40" t="inlineStr">
        <is>
          <t>Active</t>
        </is>
      </c>
    </row>
    <row r="41">
      <c r="A41">
        <f>IF(H41="","",ROW()-3)</f>
        <v/>
      </c>
      <c r="C41" s="8" t="n"/>
      <c r="J41" s="8" t="n"/>
      <c r="Q41" t="inlineStr">
        <is>
          <t>Active</t>
        </is>
      </c>
    </row>
    <row r="42">
      <c r="A42">
        <f>IF(H42="","",ROW()-3)</f>
        <v/>
      </c>
      <c r="C42" s="8" t="n"/>
      <c r="J42" s="8" t="n"/>
      <c r="Q42" t="inlineStr">
        <is>
          <t>Active</t>
        </is>
      </c>
    </row>
    <row r="43">
      <c r="A43">
        <f>IF(H43="","",ROW()-3)</f>
        <v/>
      </c>
      <c r="C43" s="8" t="n"/>
      <c r="J43" s="8" t="n"/>
      <c r="Q43" t="inlineStr">
        <is>
          <t>Active</t>
        </is>
      </c>
    </row>
    <row r="44">
      <c r="A44">
        <f>IF(H44="","",ROW()-3)</f>
        <v/>
      </c>
      <c r="C44" s="8" t="n"/>
      <c r="J44" s="8" t="n"/>
      <c r="Q44" t="inlineStr">
        <is>
          <t>Active</t>
        </is>
      </c>
    </row>
    <row r="45">
      <c r="A45">
        <f>IF(H45="","",ROW()-3)</f>
        <v/>
      </c>
      <c r="C45" s="8" t="n"/>
      <c r="J45" s="8" t="n"/>
      <c r="Q45" t="inlineStr">
        <is>
          <t>Active</t>
        </is>
      </c>
    </row>
    <row r="46">
      <c r="A46">
        <f>IF(H46="","",ROW()-3)</f>
        <v/>
      </c>
      <c r="C46" s="8" t="n"/>
      <c r="J46" s="8" t="n"/>
      <c r="Q46" t="inlineStr">
        <is>
          <t>Active</t>
        </is>
      </c>
    </row>
    <row r="47">
      <c r="A47">
        <f>IF(H47="","",ROW()-3)</f>
        <v/>
      </c>
      <c r="C47" s="8" t="n"/>
      <c r="J47" s="8" t="n"/>
      <c r="Q47" t="inlineStr">
        <is>
          <t>Active</t>
        </is>
      </c>
    </row>
    <row r="48">
      <c r="A48">
        <f>IF(H48="","",ROW()-3)</f>
        <v/>
      </c>
      <c r="C48" s="8" t="n"/>
      <c r="J48" s="8" t="n"/>
      <c r="Q48" t="inlineStr">
        <is>
          <t>Active</t>
        </is>
      </c>
    </row>
    <row r="49">
      <c r="A49">
        <f>IF(H49="","",ROW()-3)</f>
        <v/>
      </c>
      <c r="C49" s="8" t="n"/>
      <c r="J49" s="8" t="n"/>
      <c r="Q49" t="inlineStr">
        <is>
          <t>Active</t>
        </is>
      </c>
    </row>
    <row r="50">
      <c r="A50">
        <f>IF(H50="","",ROW()-3)</f>
        <v/>
      </c>
      <c r="C50" s="8" t="n"/>
      <c r="J50" s="8" t="n"/>
      <c r="Q50" t="inlineStr">
        <is>
          <t>Active</t>
        </is>
      </c>
    </row>
    <row r="51">
      <c r="A51">
        <f>IF(H51="","",ROW()-3)</f>
        <v/>
      </c>
      <c r="C51" s="8" t="n"/>
      <c r="J51" s="8" t="n"/>
      <c r="Q51" t="inlineStr">
        <is>
          <t>Active</t>
        </is>
      </c>
    </row>
    <row r="52">
      <c r="A52">
        <f>IF(H52="","",ROW()-3)</f>
        <v/>
      </c>
      <c r="C52" s="8" t="n"/>
      <c r="J52" s="8" t="n"/>
      <c r="Q52" t="inlineStr">
        <is>
          <t>Active</t>
        </is>
      </c>
    </row>
    <row r="53">
      <c r="A53">
        <f>IF(H53="","",ROW()-3)</f>
        <v/>
      </c>
      <c r="C53" s="8" t="n"/>
      <c r="J53" s="8" t="n"/>
      <c r="Q53" t="inlineStr">
        <is>
          <t>Active</t>
        </is>
      </c>
    </row>
    <row r="54">
      <c r="A54">
        <f>IF(H54="","",ROW()-3)</f>
        <v/>
      </c>
      <c r="C54" s="8" t="n"/>
      <c r="J54" s="8" t="n"/>
      <c r="Q54" t="inlineStr">
        <is>
          <t>Active</t>
        </is>
      </c>
    </row>
    <row r="55">
      <c r="A55">
        <f>IF(H55="","",ROW()-3)</f>
        <v/>
      </c>
      <c r="C55" s="8" t="n"/>
      <c r="J55" s="8" t="n"/>
      <c r="Q55" t="inlineStr">
        <is>
          <t>Active</t>
        </is>
      </c>
    </row>
    <row r="56">
      <c r="A56">
        <f>IF(H56="","",ROW()-3)</f>
        <v/>
      </c>
      <c r="C56" s="8" t="n"/>
      <c r="J56" s="8" t="n"/>
      <c r="Q56" t="inlineStr">
        <is>
          <t>Active</t>
        </is>
      </c>
    </row>
    <row r="57">
      <c r="A57">
        <f>IF(H57="","",ROW()-3)</f>
        <v/>
      </c>
      <c r="C57" s="8" t="n"/>
      <c r="J57" s="8" t="n"/>
      <c r="Q57" t="inlineStr">
        <is>
          <t>Active</t>
        </is>
      </c>
    </row>
    <row r="58">
      <c r="A58">
        <f>IF(H58="","",ROW()-3)</f>
        <v/>
      </c>
      <c r="C58" s="8" t="n"/>
      <c r="J58" s="8" t="n"/>
      <c r="Q58" t="inlineStr">
        <is>
          <t>Active</t>
        </is>
      </c>
    </row>
    <row r="59">
      <c r="A59">
        <f>IF(H59="","",ROW()-3)</f>
        <v/>
      </c>
      <c r="C59" s="8" t="n"/>
      <c r="J59" s="8" t="n"/>
      <c r="Q59" t="inlineStr">
        <is>
          <t>Active</t>
        </is>
      </c>
    </row>
    <row r="60">
      <c r="A60">
        <f>IF(H60="","",ROW()-3)</f>
        <v/>
      </c>
      <c r="C60" s="8" t="n"/>
      <c r="J60" s="8" t="n"/>
      <c r="Q60" t="inlineStr">
        <is>
          <t>Active</t>
        </is>
      </c>
    </row>
    <row r="61">
      <c r="A61">
        <f>IF(H61="","",ROW()-3)</f>
        <v/>
      </c>
      <c r="C61" s="8" t="n"/>
      <c r="J61" s="8" t="n"/>
      <c r="Q61" t="inlineStr">
        <is>
          <t>Active</t>
        </is>
      </c>
    </row>
    <row r="62">
      <c r="A62">
        <f>IF(H62="","",ROW()-3)</f>
        <v/>
      </c>
      <c r="C62" s="8" t="n"/>
      <c r="J62" s="8" t="n"/>
      <c r="Q62" t="inlineStr">
        <is>
          <t>Active</t>
        </is>
      </c>
    </row>
    <row r="63">
      <c r="A63">
        <f>IF(H63="","",ROW()-3)</f>
        <v/>
      </c>
      <c r="C63" s="8" t="n"/>
      <c r="J63" s="8" t="n"/>
      <c r="Q63" t="inlineStr">
        <is>
          <t>Active</t>
        </is>
      </c>
    </row>
    <row r="64">
      <c r="A64">
        <f>IF(H64="","",ROW()-3)</f>
        <v/>
      </c>
      <c r="C64" s="8" t="n"/>
      <c r="J64" s="8" t="n"/>
      <c r="Q64" t="inlineStr">
        <is>
          <t>Active</t>
        </is>
      </c>
    </row>
    <row r="65">
      <c r="A65">
        <f>IF(H65="","",ROW()-3)</f>
        <v/>
      </c>
      <c r="C65" s="8" t="n"/>
      <c r="J65" s="8" t="n"/>
      <c r="Q65" t="inlineStr">
        <is>
          <t>Active</t>
        </is>
      </c>
    </row>
    <row r="66">
      <c r="A66">
        <f>IF(H66="","",ROW()-3)</f>
        <v/>
      </c>
      <c r="C66" s="8" t="n"/>
      <c r="J66" s="8" t="n"/>
      <c r="Q66" t="inlineStr">
        <is>
          <t>Active</t>
        </is>
      </c>
    </row>
    <row r="67">
      <c r="A67">
        <f>IF(H67="","",ROW()-3)</f>
        <v/>
      </c>
      <c r="C67" s="8" t="n"/>
      <c r="J67" s="8" t="n"/>
      <c r="Q67" t="inlineStr">
        <is>
          <t>Active</t>
        </is>
      </c>
    </row>
    <row r="68">
      <c r="A68">
        <f>IF(H68="","",ROW()-3)</f>
        <v/>
      </c>
      <c r="C68" s="8" t="n"/>
      <c r="J68" s="8" t="n"/>
      <c r="Q68" t="inlineStr">
        <is>
          <t>Active</t>
        </is>
      </c>
    </row>
    <row r="69">
      <c r="A69">
        <f>IF(H69="","",ROW()-3)</f>
        <v/>
      </c>
      <c r="C69" s="8" t="n"/>
      <c r="J69" s="8" t="n"/>
      <c r="Q69" t="inlineStr">
        <is>
          <t>Active</t>
        </is>
      </c>
    </row>
    <row r="70">
      <c r="A70">
        <f>IF(H70="","",ROW()-3)</f>
        <v/>
      </c>
      <c r="C70" s="8" t="n"/>
      <c r="J70" s="8" t="n"/>
      <c r="Q70" t="inlineStr">
        <is>
          <t>Active</t>
        </is>
      </c>
    </row>
    <row r="71">
      <c r="A71">
        <f>IF(H71="","",ROW()-3)</f>
        <v/>
      </c>
      <c r="C71" s="8" t="n"/>
      <c r="J71" s="8" t="n"/>
      <c r="Q71" t="inlineStr">
        <is>
          <t>Active</t>
        </is>
      </c>
    </row>
    <row r="72">
      <c r="A72">
        <f>IF(H72="","",ROW()-3)</f>
        <v/>
      </c>
      <c r="C72" s="8" t="n"/>
      <c r="J72" s="8" t="n"/>
      <c r="Q72" t="inlineStr">
        <is>
          <t>Active</t>
        </is>
      </c>
    </row>
    <row r="73">
      <c r="A73">
        <f>IF(H73="","",ROW()-3)</f>
        <v/>
      </c>
      <c r="C73" s="8" t="n"/>
      <c r="J73" s="8" t="n"/>
      <c r="Q73" t="inlineStr">
        <is>
          <t>Active</t>
        </is>
      </c>
    </row>
    <row r="74">
      <c r="A74">
        <f>IF(H74="","",ROW()-3)</f>
        <v/>
      </c>
      <c r="C74" s="8" t="n"/>
      <c r="J74" s="8" t="n"/>
      <c r="Q74" t="inlineStr">
        <is>
          <t>Active</t>
        </is>
      </c>
    </row>
    <row r="75">
      <c r="A75">
        <f>IF(H75="","",ROW()-3)</f>
        <v/>
      </c>
      <c r="C75" s="8" t="n"/>
      <c r="J75" s="8" t="n"/>
      <c r="Q75" t="inlineStr">
        <is>
          <t>Active</t>
        </is>
      </c>
    </row>
    <row r="76">
      <c r="A76">
        <f>IF(H76="","",ROW()-3)</f>
        <v/>
      </c>
      <c r="C76" s="8" t="n"/>
      <c r="J76" s="8" t="n"/>
      <c r="Q76" t="inlineStr">
        <is>
          <t>Active</t>
        </is>
      </c>
    </row>
    <row r="77">
      <c r="A77">
        <f>IF(H77="","",ROW()-3)</f>
        <v/>
      </c>
      <c r="C77" s="8" t="n"/>
      <c r="J77" s="8" t="n"/>
      <c r="Q77" t="inlineStr">
        <is>
          <t>Active</t>
        </is>
      </c>
    </row>
    <row r="78">
      <c r="A78">
        <f>IF(H78="","",ROW()-3)</f>
        <v/>
      </c>
      <c r="C78" s="8" t="n"/>
      <c r="J78" s="8" t="n"/>
      <c r="Q78" t="inlineStr">
        <is>
          <t>Active</t>
        </is>
      </c>
    </row>
    <row r="79">
      <c r="A79">
        <f>IF(H79="","",ROW()-3)</f>
        <v/>
      </c>
      <c r="C79" s="8" t="n"/>
      <c r="J79" s="8" t="n"/>
      <c r="Q79" t="inlineStr">
        <is>
          <t>Active</t>
        </is>
      </c>
    </row>
    <row r="80">
      <c r="A80">
        <f>IF(H80="","",ROW()-3)</f>
        <v/>
      </c>
      <c r="C80" s="8" t="n"/>
      <c r="J80" s="8" t="n"/>
      <c r="Q80" t="inlineStr">
        <is>
          <t>Active</t>
        </is>
      </c>
    </row>
    <row r="81">
      <c r="A81">
        <f>IF(H81="","",ROW()-3)</f>
        <v/>
      </c>
      <c r="C81" s="8" t="n"/>
      <c r="J81" s="8" t="n"/>
      <c r="Q81" t="inlineStr">
        <is>
          <t>Active</t>
        </is>
      </c>
    </row>
    <row r="82">
      <c r="A82">
        <f>IF(H82="","",ROW()-3)</f>
        <v/>
      </c>
      <c r="C82" s="8" t="n"/>
      <c r="J82" s="8" t="n"/>
      <c r="Q82" t="inlineStr">
        <is>
          <t>Active</t>
        </is>
      </c>
    </row>
    <row r="83">
      <c r="A83">
        <f>IF(H83="","",ROW()-3)</f>
        <v/>
      </c>
      <c r="C83" s="8" t="n"/>
      <c r="J83" s="8" t="n"/>
      <c r="Q83" t="inlineStr">
        <is>
          <t>Active</t>
        </is>
      </c>
    </row>
    <row r="84">
      <c r="A84">
        <f>IF(H84="","",ROW()-3)</f>
        <v/>
      </c>
      <c r="C84" s="8" t="n"/>
      <c r="J84" s="8" t="n"/>
      <c r="Q84" t="inlineStr">
        <is>
          <t>Active</t>
        </is>
      </c>
    </row>
    <row r="85">
      <c r="A85">
        <f>IF(H85="","",ROW()-3)</f>
        <v/>
      </c>
      <c r="C85" s="8" t="n"/>
      <c r="J85" s="8" t="n"/>
      <c r="Q85" t="inlineStr">
        <is>
          <t>Active</t>
        </is>
      </c>
    </row>
    <row r="86">
      <c r="A86">
        <f>IF(H86="","",ROW()-3)</f>
        <v/>
      </c>
      <c r="C86" s="8" t="n"/>
      <c r="J86" s="8" t="n"/>
      <c r="Q86" t="inlineStr">
        <is>
          <t>Active</t>
        </is>
      </c>
    </row>
    <row r="87">
      <c r="A87">
        <f>IF(H87="","",ROW()-3)</f>
        <v/>
      </c>
      <c r="C87" s="8" t="n"/>
      <c r="J87" s="8" t="n"/>
      <c r="Q87" t="inlineStr">
        <is>
          <t>Active</t>
        </is>
      </c>
    </row>
    <row r="88">
      <c r="A88">
        <f>IF(H88="","",ROW()-3)</f>
        <v/>
      </c>
      <c r="C88" s="8" t="n"/>
      <c r="J88" s="8" t="n"/>
      <c r="Q88" t="inlineStr">
        <is>
          <t>Active</t>
        </is>
      </c>
    </row>
    <row r="89">
      <c r="A89">
        <f>IF(H89="","",ROW()-3)</f>
        <v/>
      </c>
      <c r="C89" s="8" t="n"/>
      <c r="J89" s="8" t="n"/>
      <c r="Q89" t="inlineStr">
        <is>
          <t>Active</t>
        </is>
      </c>
    </row>
    <row r="90">
      <c r="A90">
        <f>IF(H90="","",ROW()-3)</f>
        <v/>
      </c>
      <c r="C90" s="8" t="n"/>
      <c r="J90" s="8" t="n"/>
      <c r="Q90" t="inlineStr">
        <is>
          <t>Active</t>
        </is>
      </c>
    </row>
    <row r="91">
      <c r="A91">
        <f>IF(H91="","",ROW()-3)</f>
        <v/>
      </c>
      <c r="C91" s="8" t="n"/>
      <c r="J91" s="8" t="n"/>
      <c r="Q91" t="inlineStr">
        <is>
          <t>Active</t>
        </is>
      </c>
    </row>
    <row r="92">
      <c r="A92">
        <f>IF(H92="","",ROW()-3)</f>
        <v/>
      </c>
      <c r="C92" s="8" t="n"/>
      <c r="J92" s="8" t="n"/>
      <c r="Q92" t="inlineStr">
        <is>
          <t>Active</t>
        </is>
      </c>
    </row>
    <row r="93">
      <c r="A93">
        <f>IF(H93="","",ROW()-3)</f>
        <v/>
      </c>
      <c r="C93" s="8" t="n"/>
      <c r="J93" s="8" t="n"/>
      <c r="Q93" t="inlineStr">
        <is>
          <t>Active</t>
        </is>
      </c>
    </row>
    <row r="94">
      <c r="A94">
        <f>IF(H94="","",ROW()-3)</f>
        <v/>
      </c>
      <c r="C94" s="8" t="n"/>
      <c r="J94" s="8" t="n"/>
      <c r="Q94" t="inlineStr">
        <is>
          <t>Active</t>
        </is>
      </c>
    </row>
    <row r="95">
      <c r="A95">
        <f>IF(H95="","",ROW()-3)</f>
        <v/>
      </c>
      <c r="C95" s="8" t="n"/>
      <c r="J95" s="8" t="n"/>
      <c r="Q95" t="inlineStr">
        <is>
          <t>Active</t>
        </is>
      </c>
    </row>
    <row r="96">
      <c r="A96">
        <f>IF(H96="","",ROW()-3)</f>
        <v/>
      </c>
      <c r="C96" s="8" t="n"/>
      <c r="J96" s="8" t="n"/>
      <c r="Q96" t="inlineStr">
        <is>
          <t>Active</t>
        </is>
      </c>
    </row>
    <row r="97">
      <c r="A97">
        <f>IF(H97="","",ROW()-3)</f>
        <v/>
      </c>
      <c r="C97" s="8" t="n"/>
      <c r="J97" s="8" t="n"/>
      <c r="Q97" t="inlineStr">
        <is>
          <t>Active</t>
        </is>
      </c>
    </row>
    <row r="98">
      <c r="A98">
        <f>IF(H98="","",ROW()-3)</f>
        <v/>
      </c>
      <c r="C98" s="8" t="n"/>
      <c r="J98" s="8" t="n"/>
      <c r="Q98" t="inlineStr">
        <is>
          <t>Active</t>
        </is>
      </c>
    </row>
    <row r="99">
      <c r="A99">
        <f>IF(H99="","",ROW()-3)</f>
        <v/>
      </c>
      <c r="C99" s="8" t="n"/>
      <c r="J99" s="8" t="n"/>
      <c r="Q99" t="inlineStr">
        <is>
          <t>Active</t>
        </is>
      </c>
    </row>
    <row r="100">
      <c r="A100">
        <f>IF(H100="","",ROW()-3)</f>
        <v/>
      </c>
      <c r="C100" s="8" t="n"/>
      <c r="J100" s="8" t="n"/>
      <c r="Q100" t="inlineStr">
        <is>
          <t>Active</t>
        </is>
      </c>
    </row>
    <row r="101">
      <c r="A101">
        <f>IF(H101="","",ROW()-3)</f>
        <v/>
      </c>
      <c r="C101" s="8" t="n"/>
      <c r="J101" s="8" t="n"/>
      <c r="Q101" t="inlineStr">
        <is>
          <t>Active</t>
        </is>
      </c>
    </row>
    <row r="102">
      <c r="A102">
        <f>IF(H102="","",ROW()-3)</f>
        <v/>
      </c>
      <c r="C102" s="8" t="n"/>
      <c r="J102" s="8" t="n"/>
      <c r="Q102" t="inlineStr">
        <is>
          <t>Active</t>
        </is>
      </c>
    </row>
    <row r="103">
      <c r="A103">
        <f>IF(H103="","",ROW()-3)</f>
        <v/>
      </c>
      <c r="C103" s="8" t="n"/>
      <c r="J103" s="8" t="n"/>
      <c r="Q103" t="inlineStr">
        <is>
          <t>Active</t>
        </is>
      </c>
    </row>
    <row r="104">
      <c r="A104">
        <f>IF(H104="","",ROW()-3)</f>
        <v/>
      </c>
      <c r="C104" s="8" t="n"/>
      <c r="J104" s="8" t="n"/>
      <c r="Q104" t="inlineStr">
        <is>
          <t>Active</t>
        </is>
      </c>
    </row>
    <row r="105">
      <c r="A105">
        <f>IF(H105="","",ROW()-3)</f>
        <v/>
      </c>
      <c r="C105" s="8" t="n"/>
      <c r="J105" s="8" t="n"/>
      <c r="Q105" t="inlineStr">
        <is>
          <t>Active</t>
        </is>
      </c>
    </row>
    <row r="106">
      <c r="A106">
        <f>IF(H106="","",ROW()-3)</f>
        <v/>
      </c>
      <c r="C106" s="8" t="n"/>
      <c r="J106" s="8" t="n"/>
      <c r="Q106" t="inlineStr">
        <is>
          <t>Active</t>
        </is>
      </c>
    </row>
    <row r="107">
      <c r="A107">
        <f>IF(H107="","",ROW()-3)</f>
        <v/>
      </c>
      <c r="C107" s="8" t="n"/>
      <c r="J107" s="8" t="n"/>
      <c r="Q107" t="inlineStr">
        <is>
          <t>Active</t>
        </is>
      </c>
    </row>
    <row r="108">
      <c r="A108">
        <f>IF(H108="","",ROW()-3)</f>
        <v/>
      </c>
      <c r="C108" s="8" t="n"/>
      <c r="J108" s="8" t="n"/>
      <c r="Q108" t="inlineStr">
        <is>
          <t>Active</t>
        </is>
      </c>
    </row>
    <row r="109">
      <c r="A109">
        <f>IF(H109="","",ROW()-3)</f>
        <v/>
      </c>
      <c r="C109" s="8" t="n"/>
      <c r="J109" s="8" t="n"/>
      <c r="Q109" t="inlineStr">
        <is>
          <t>Active</t>
        </is>
      </c>
    </row>
    <row r="110">
      <c r="A110">
        <f>IF(H110="","",ROW()-3)</f>
        <v/>
      </c>
      <c r="C110" s="8" t="n"/>
      <c r="J110" s="8" t="n"/>
      <c r="Q110" t="inlineStr">
        <is>
          <t>Active</t>
        </is>
      </c>
    </row>
    <row r="111">
      <c r="A111">
        <f>IF(H111="","",ROW()-3)</f>
        <v/>
      </c>
      <c r="C111" s="8" t="n"/>
      <c r="J111" s="8" t="n"/>
      <c r="Q111" t="inlineStr">
        <is>
          <t>Active</t>
        </is>
      </c>
    </row>
    <row r="112">
      <c r="A112">
        <f>IF(H112="","",ROW()-3)</f>
        <v/>
      </c>
      <c r="C112" s="8" t="n"/>
      <c r="J112" s="8" t="n"/>
      <c r="Q112" t="inlineStr">
        <is>
          <t>Active</t>
        </is>
      </c>
    </row>
    <row r="113">
      <c r="A113">
        <f>IF(H113="","",ROW()-3)</f>
        <v/>
      </c>
      <c r="C113" s="8" t="n"/>
      <c r="J113" s="8" t="n"/>
      <c r="Q113" t="inlineStr">
        <is>
          <t>Active</t>
        </is>
      </c>
    </row>
    <row r="114">
      <c r="A114">
        <f>IF(H114="","",ROW()-3)</f>
        <v/>
      </c>
      <c r="C114" s="8" t="n"/>
      <c r="J114" s="8" t="n"/>
      <c r="Q114" t="inlineStr">
        <is>
          <t>Active</t>
        </is>
      </c>
    </row>
    <row r="115">
      <c r="A115">
        <f>IF(H115="","",ROW()-3)</f>
        <v/>
      </c>
      <c r="C115" s="8" t="n"/>
      <c r="J115" s="8" t="n"/>
      <c r="Q115" t="inlineStr">
        <is>
          <t>Active</t>
        </is>
      </c>
    </row>
    <row r="116">
      <c r="A116">
        <f>IF(H116="","",ROW()-3)</f>
        <v/>
      </c>
      <c r="C116" s="8" t="n"/>
      <c r="J116" s="8" t="n"/>
      <c r="Q116" t="inlineStr">
        <is>
          <t>Active</t>
        </is>
      </c>
    </row>
    <row r="117">
      <c r="A117">
        <f>IF(H117="","",ROW()-3)</f>
        <v/>
      </c>
      <c r="C117" s="8" t="n"/>
      <c r="J117" s="8" t="n"/>
      <c r="Q117" t="inlineStr">
        <is>
          <t>Active</t>
        </is>
      </c>
    </row>
    <row r="118">
      <c r="A118">
        <f>IF(H118="","",ROW()-3)</f>
        <v/>
      </c>
      <c r="C118" s="8" t="n"/>
      <c r="J118" s="8" t="n"/>
      <c r="Q118" t="inlineStr">
        <is>
          <t>Active</t>
        </is>
      </c>
    </row>
    <row r="119">
      <c r="A119">
        <f>IF(H119="","",ROW()-3)</f>
        <v/>
      </c>
      <c r="C119" s="8" t="n"/>
      <c r="J119" s="8" t="n"/>
      <c r="Q119" t="inlineStr">
        <is>
          <t>Active</t>
        </is>
      </c>
    </row>
    <row r="120">
      <c r="A120">
        <f>IF(H120="","",ROW()-3)</f>
        <v/>
      </c>
      <c r="C120" s="8" t="n"/>
      <c r="J120" s="8" t="n"/>
      <c r="Q120" t="inlineStr">
        <is>
          <t>Active</t>
        </is>
      </c>
    </row>
    <row r="121">
      <c r="A121">
        <f>IF(H121="","",ROW()-3)</f>
        <v/>
      </c>
      <c r="C121" s="8" t="n"/>
      <c r="J121" s="8" t="n"/>
      <c r="Q121" t="inlineStr">
        <is>
          <t>Active</t>
        </is>
      </c>
    </row>
    <row r="122">
      <c r="A122">
        <f>IF(H122="","",ROW()-3)</f>
        <v/>
      </c>
      <c r="C122" s="8" t="n"/>
      <c r="J122" s="8" t="n"/>
      <c r="Q122" t="inlineStr">
        <is>
          <t>Active</t>
        </is>
      </c>
    </row>
    <row r="123">
      <c r="A123">
        <f>IF(H123="","",ROW()-3)</f>
        <v/>
      </c>
      <c r="C123" s="8" t="n"/>
      <c r="J123" s="8" t="n"/>
      <c r="Q123" t="inlineStr">
        <is>
          <t>Active</t>
        </is>
      </c>
    </row>
    <row r="124">
      <c r="A124">
        <f>IF(H124="","",ROW()-3)</f>
        <v/>
      </c>
      <c r="C124" s="8" t="n"/>
      <c r="J124" s="8" t="n"/>
      <c r="Q124" t="inlineStr">
        <is>
          <t>Active</t>
        </is>
      </c>
    </row>
    <row r="125">
      <c r="A125">
        <f>IF(H125="","",ROW()-3)</f>
        <v/>
      </c>
      <c r="C125" s="8" t="n"/>
      <c r="J125" s="8" t="n"/>
      <c r="Q125" t="inlineStr">
        <is>
          <t>Active</t>
        </is>
      </c>
    </row>
    <row r="126">
      <c r="A126">
        <f>IF(H126="","",ROW()-3)</f>
        <v/>
      </c>
      <c r="C126" s="8" t="n"/>
      <c r="J126" s="8" t="n"/>
      <c r="Q126" t="inlineStr">
        <is>
          <t>Active</t>
        </is>
      </c>
    </row>
    <row r="127">
      <c r="A127">
        <f>IF(H127="","",ROW()-3)</f>
        <v/>
      </c>
      <c r="C127" s="8" t="n"/>
      <c r="J127" s="8" t="n"/>
      <c r="Q127" t="inlineStr">
        <is>
          <t>Active</t>
        </is>
      </c>
    </row>
    <row r="128">
      <c r="A128">
        <f>IF(H128="","",ROW()-3)</f>
        <v/>
      </c>
      <c r="C128" s="8" t="n"/>
      <c r="J128" s="8" t="n"/>
      <c r="Q128" t="inlineStr">
        <is>
          <t>Active</t>
        </is>
      </c>
    </row>
    <row r="129">
      <c r="A129">
        <f>IF(H129="","",ROW()-3)</f>
        <v/>
      </c>
      <c r="C129" s="8" t="n"/>
      <c r="J129" s="8" t="n"/>
      <c r="Q129" t="inlineStr">
        <is>
          <t>Active</t>
        </is>
      </c>
    </row>
    <row r="130">
      <c r="A130">
        <f>IF(H130="","",ROW()-3)</f>
        <v/>
      </c>
      <c r="C130" s="8" t="n"/>
      <c r="J130" s="8" t="n"/>
      <c r="Q130" t="inlineStr">
        <is>
          <t>Active</t>
        </is>
      </c>
    </row>
    <row r="131">
      <c r="A131">
        <f>IF(H131="","",ROW()-3)</f>
        <v/>
      </c>
      <c r="C131" s="8" t="n"/>
      <c r="J131" s="8" t="n"/>
      <c r="Q131" t="inlineStr">
        <is>
          <t>Active</t>
        </is>
      </c>
    </row>
    <row r="132">
      <c r="A132">
        <f>IF(H132="","",ROW()-3)</f>
        <v/>
      </c>
      <c r="C132" s="8" t="n"/>
      <c r="J132" s="8" t="n"/>
      <c r="Q132" t="inlineStr">
        <is>
          <t>Active</t>
        </is>
      </c>
    </row>
    <row r="133">
      <c r="A133">
        <f>IF(H133="","",ROW()-3)</f>
        <v/>
      </c>
      <c r="C133" s="8" t="n"/>
      <c r="J133" s="8" t="n"/>
      <c r="Q133" t="inlineStr">
        <is>
          <t>Active</t>
        </is>
      </c>
    </row>
    <row r="134">
      <c r="A134">
        <f>IF(H134="","",ROW()-3)</f>
        <v/>
      </c>
      <c r="C134" s="8" t="n"/>
      <c r="J134" s="8" t="n"/>
      <c r="Q134" t="inlineStr">
        <is>
          <t>Active</t>
        </is>
      </c>
    </row>
    <row r="135">
      <c r="A135">
        <f>IF(H135="","",ROW()-3)</f>
        <v/>
      </c>
      <c r="C135" s="8" t="n"/>
      <c r="J135" s="8" t="n"/>
      <c r="Q135" t="inlineStr">
        <is>
          <t>Active</t>
        </is>
      </c>
    </row>
    <row r="136">
      <c r="A136">
        <f>IF(H136="","",ROW()-3)</f>
        <v/>
      </c>
      <c r="C136" s="8" t="n"/>
      <c r="J136" s="8" t="n"/>
      <c r="Q136" t="inlineStr">
        <is>
          <t>Active</t>
        </is>
      </c>
    </row>
    <row r="137">
      <c r="A137">
        <f>IF(H137="","",ROW()-3)</f>
        <v/>
      </c>
      <c r="C137" s="8" t="n"/>
      <c r="J137" s="8" t="n"/>
      <c r="Q137" t="inlineStr">
        <is>
          <t>Active</t>
        </is>
      </c>
    </row>
    <row r="138">
      <c r="A138">
        <f>IF(H138="","",ROW()-3)</f>
        <v/>
      </c>
      <c r="C138" s="8" t="n"/>
      <c r="J138" s="8" t="n"/>
      <c r="Q138" t="inlineStr">
        <is>
          <t>Active</t>
        </is>
      </c>
    </row>
    <row r="139">
      <c r="A139">
        <f>IF(H139="","",ROW()-3)</f>
        <v/>
      </c>
      <c r="C139" s="8" t="n"/>
      <c r="J139" s="8" t="n"/>
      <c r="Q139" t="inlineStr">
        <is>
          <t>Active</t>
        </is>
      </c>
    </row>
    <row r="140">
      <c r="A140">
        <f>IF(H140="","",ROW()-3)</f>
        <v/>
      </c>
      <c r="C140" s="8" t="n"/>
      <c r="J140" s="8" t="n"/>
      <c r="Q140" t="inlineStr">
        <is>
          <t>Active</t>
        </is>
      </c>
    </row>
    <row r="141">
      <c r="A141">
        <f>IF(H141="","",ROW()-3)</f>
        <v/>
      </c>
      <c r="C141" s="8" t="n"/>
      <c r="J141" s="8" t="n"/>
      <c r="Q141" t="inlineStr">
        <is>
          <t>Active</t>
        </is>
      </c>
    </row>
    <row r="142">
      <c r="A142">
        <f>IF(H142="","",ROW()-3)</f>
        <v/>
      </c>
      <c r="C142" s="8" t="n"/>
      <c r="J142" s="8" t="n"/>
      <c r="Q142" t="inlineStr">
        <is>
          <t>Active</t>
        </is>
      </c>
    </row>
    <row r="143">
      <c r="A143">
        <f>IF(H143="","",ROW()-3)</f>
        <v/>
      </c>
      <c r="C143" s="8" t="n"/>
      <c r="J143" s="8" t="n"/>
      <c r="Q143" t="inlineStr">
        <is>
          <t>Active</t>
        </is>
      </c>
    </row>
    <row r="144">
      <c r="A144">
        <f>IF(H144="","",ROW()-3)</f>
        <v/>
      </c>
      <c r="C144" s="8" t="n"/>
      <c r="J144" s="8" t="n"/>
      <c r="Q144" t="inlineStr">
        <is>
          <t>Active</t>
        </is>
      </c>
    </row>
    <row r="145">
      <c r="A145">
        <f>IF(H145="","",ROW()-3)</f>
        <v/>
      </c>
      <c r="C145" s="8" t="n"/>
      <c r="J145" s="8" t="n"/>
      <c r="Q145" t="inlineStr">
        <is>
          <t>Active</t>
        </is>
      </c>
    </row>
    <row r="146">
      <c r="A146">
        <f>IF(H146="","",ROW()-3)</f>
        <v/>
      </c>
      <c r="C146" s="8" t="n"/>
      <c r="J146" s="8" t="n"/>
      <c r="Q146" t="inlineStr">
        <is>
          <t>Active</t>
        </is>
      </c>
    </row>
    <row r="147">
      <c r="A147">
        <f>IF(H147="","",ROW()-3)</f>
        <v/>
      </c>
      <c r="C147" s="8" t="n"/>
      <c r="J147" s="8" t="n"/>
      <c r="Q147" t="inlineStr">
        <is>
          <t>Active</t>
        </is>
      </c>
    </row>
    <row r="148">
      <c r="A148">
        <f>IF(H148="","",ROW()-3)</f>
        <v/>
      </c>
      <c r="C148" s="8" t="n"/>
      <c r="J148" s="8" t="n"/>
      <c r="Q148" t="inlineStr">
        <is>
          <t>Active</t>
        </is>
      </c>
    </row>
    <row r="149">
      <c r="A149">
        <f>IF(H149="","",ROW()-3)</f>
        <v/>
      </c>
      <c r="C149" s="8" t="n"/>
      <c r="J149" s="8" t="n"/>
      <c r="Q149" t="inlineStr">
        <is>
          <t>Active</t>
        </is>
      </c>
    </row>
    <row r="150">
      <c r="A150">
        <f>IF(H150="","",ROW()-3)</f>
        <v/>
      </c>
      <c r="C150" s="8" t="n"/>
      <c r="J150" s="8" t="n"/>
      <c r="Q150" t="inlineStr">
        <is>
          <t>Active</t>
        </is>
      </c>
    </row>
    <row r="151">
      <c r="A151">
        <f>IF(H151="","",ROW()-3)</f>
        <v/>
      </c>
      <c r="C151" s="8" t="n"/>
      <c r="J151" s="8" t="n"/>
      <c r="Q151" t="inlineStr">
        <is>
          <t>Active</t>
        </is>
      </c>
    </row>
    <row r="152">
      <c r="A152">
        <f>IF(H152="","",ROW()-3)</f>
        <v/>
      </c>
      <c r="C152" s="8" t="n"/>
      <c r="J152" s="8" t="n"/>
      <c r="Q152" t="inlineStr">
        <is>
          <t>Active</t>
        </is>
      </c>
    </row>
    <row r="153">
      <c r="A153">
        <f>IF(H153="","",ROW()-3)</f>
        <v/>
      </c>
      <c r="C153" s="8" t="n"/>
      <c r="J153" s="8" t="n"/>
      <c r="Q153" t="inlineStr">
        <is>
          <t>Active</t>
        </is>
      </c>
    </row>
    <row r="154">
      <c r="A154">
        <f>IF(H154="","",ROW()-3)</f>
        <v/>
      </c>
      <c r="C154" s="8" t="n"/>
      <c r="J154" s="8" t="n"/>
      <c r="Q154" t="inlineStr">
        <is>
          <t>Active</t>
        </is>
      </c>
    </row>
    <row r="155">
      <c r="A155">
        <f>IF(H155="","",ROW()-3)</f>
        <v/>
      </c>
      <c r="C155" s="8" t="n"/>
      <c r="J155" s="8" t="n"/>
      <c r="Q155" t="inlineStr">
        <is>
          <t>Active</t>
        </is>
      </c>
    </row>
    <row r="156">
      <c r="A156">
        <f>IF(H156="","",ROW()-3)</f>
        <v/>
      </c>
      <c r="C156" s="8" t="n"/>
      <c r="J156" s="8" t="n"/>
      <c r="Q156" t="inlineStr">
        <is>
          <t>Active</t>
        </is>
      </c>
    </row>
    <row r="157">
      <c r="A157">
        <f>IF(H157="","",ROW()-3)</f>
        <v/>
      </c>
      <c r="C157" s="8" t="n"/>
      <c r="J157" s="8" t="n"/>
      <c r="Q157" t="inlineStr">
        <is>
          <t>Active</t>
        </is>
      </c>
    </row>
    <row r="158">
      <c r="A158">
        <f>IF(H158="","",ROW()-3)</f>
        <v/>
      </c>
      <c r="C158" s="8" t="n"/>
      <c r="J158" s="8" t="n"/>
      <c r="Q158" t="inlineStr">
        <is>
          <t>Active</t>
        </is>
      </c>
    </row>
    <row r="159">
      <c r="A159">
        <f>IF(H159="","",ROW()-3)</f>
        <v/>
      </c>
      <c r="C159" s="8" t="n"/>
      <c r="J159" s="8" t="n"/>
      <c r="Q159" t="inlineStr">
        <is>
          <t>Active</t>
        </is>
      </c>
    </row>
    <row r="160">
      <c r="A160">
        <f>IF(H160="","",ROW()-3)</f>
        <v/>
      </c>
      <c r="C160" s="8" t="n"/>
      <c r="J160" s="8" t="n"/>
      <c r="Q160" t="inlineStr">
        <is>
          <t>Active</t>
        </is>
      </c>
    </row>
    <row r="161">
      <c r="A161">
        <f>IF(H161="","",ROW()-3)</f>
        <v/>
      </c>
      <c r="C161" s="8" t="n"/>
      <c r="J161" s="8" t="n"/>
      <c r="Q161" t="inlineStr">
        <is>
          <t>Active</t>
        </is>
      </c>
    </row>
    <row r="162">
      <c r="A162">
        <f>IF(H162="","",ROW()-3)</f>
        <v/>
      </c>
      <c r="C162" s="8" t="n"/>
      <c r="J162" s="8" t="n"/>
      <c r="Q162" t="inlineStr">
        <is>
          <t>Active</t>
        </is>
      </c>
    </row>
    <row r="163">
      <c r="A163">
        <f>IF(H163="","",ROW()-3)</f>
        <v/>
      </c>
      <c r="C163" s="8" t="n"/>
      <c r="J163" s="8" t="n"/>
      <c r="Q163" t="inlineStr">
        <is>
          <t>Active</t>
        </is>
      </c>
    </row>
    <row r="164">
      <c r="A164">
        <f>IF(H164="","",ROW()-3)</f>
        <v/>
      </c>
      <c r="C164" s="8" t="n"/>
      <c r="J164" s="8" t="n"/>
      <c r="Q164" t="inlineStr">
        <is>
          <t>Active</t>
        </is>
      </c>
    </row>
    <row r="165">
      <c r="A165">
        <f>IF(H165="","",ROW()-3)</f>
        <v/>
      </c>
      <c r="C165" s="8" t="n"/>
      <c r="J165" s="8" t="n"/>
      <c r="Q165" t="inlineStr">
        <is>
          <t>Active</t>
        </is>
      </c>
    </row>
    <row r="166">
      <c r="A166">
        <f>IF(H166="","",ROW()-3)</f>
        <v/>
      </c>
      <c r="C166" s="8" t="n"/>
      <c r="J166" s="8" t="n"/>
      <c r="Q166" t="inlineStr">
        <is>
          <t>Active</t>
        </is>
      </c>
    </row>
    <row r="167">
      <c r="A167">
        <f>IF(H167="","",ROW()-3)</f>
        <v/>
      </c>
      <c r="C167" s="8" t="n"/>
      <c r="J167" s="8" t="n"/>
      <c r="Q167" t="inlineStr">
        <is>
          <t>Active</t>
        </is>
      </c>
    </row>
    <row r="168">
      <c r="A168">
        <f>IF(H168="","",ROW()-3)</f>
        <v/>
      </c>
      <c r="C168" s="8" t="n"/>
      <c r="J168" s="8" t="n"/>
      <c r="Q168" t="inlineStr">
        <is>
          <t>Active</t>
        </is>
      </c>
    </row>
    <row r="169">
      <c r="A169">
        <f>IF(H169="","",ROW()-3)</f>
        <v/>
      </c>
      <c r="C169" s="8" t="n"/>
      <c r="J169" s="8" t="n"/>
      <c r="Q169" t="inlineStr">
        <is>
          <t>Active</t>
        </is>
      </c>
    </row>
    <row r="170">
      <c r="A170">
        <f>IF(H170="","",ROW()-3)</f>
        <v/>
      </c>
      <c r="C170" s="8" t="n"/>
      <c r="J170" s="8" t="n"/>
      <c r="Q170" t="inlineStr">
        <is>
          <t>Active</t>
        </is>
      </c>
    </row>
    <row r="171">
      <c r="A171">
        <f>IF(H171="","",ROW()-3)</f>
        <v/>
      </c>
      <c r="C171" s="8" t="n"/>
      <c r="J171" s="8" t="n"/>
      <c r="Q171" t="inlineStr">
        <is>
          <t>Active</t>
        </is>
      </c>
    </row>
    <row r="172">
      <c r="A172">
        <f>IF(H172="","",ROW()-3)</f>
        <v/>
      </c>
      <c r="C172" s="8" t="n"/>
      <c r="J172" s="8" t="n"/>
      <c r="Q172" t="inlineStr">
        <is>
          <t>Active</t>
        </is>
      </c>
    </row>
    <row r="173">
      <c r="A173">
        <f>IF(H173="","",ROW()-3)</f>
        <v/>
      </c>
      <c r="C173" s="8" t="n"/>
      <c r="J173" s="8" t="n"/>
      <c r="Q173" t="inlineStr">
        <is>
          <t>Active</t>
        </is>
      </c>
    </row>
    <row r="174">
      <c r="A174">
        <f>IF(H174="","",ROW()-3)</f>
        <v/>
      </c>
      <c r="C174" s="8" t="n"/>
      <c r="J174" s="8" t="n"/>
      <c r="Q174" t="inlineStr">
        <is>
          <t>Active</t>
        </is>
      </c>
    </row>
    <row r="175">
      <c r="A175">
        <f>IF(H175="","",ROW()-3)</f>
        <v/>
      </c>
      <c r="C175" s="8" t="n"/>
      <c r="J175" s="8" t="n"/>
      <c r="Q175" t="inlineStr">
        <is>
          <t>Active</t>
        </is>
      </c>
    </row>
    <row r="176">
      <c r="A176">
        <f>IF(H176="","",ROW()-3)</f>
        <v/>
      </c>
      <c r="C176" s="8" t="n"/>
      <c r="J176" s="8" t="n"/>
      <c r="Q176" t="inlineStr">
        <is>
          <t>Active</t>
        </is>
      </c>
    </row>
    <row r="177">
      <c r="A177">
        <f>IF(H177="","",ROW()-3)</f>
        <v/>
      </c>
      <c r="C177" s="8" t="n"/>
      <c r="J177" s="8" t="n"/>
      <c r="Q177" t="inlineStr">
        <is>
          <t>Active</t>
        </is>
      </c>
    </row>
    <row r="178">
      <c r="A178">
        <f>IF(H178="","",ROW()-3)</f>
        <v/>
      </c>
      <c r="C178" s="8" t="n"/>
      <c r="J178" s="8" t="n"/>
      <c r="Q178" t="inlineStr">
        <is>
          <t>Active</t>
        </is>
      </c>
    </row>
    <row r="179">
      <c r="A179">
        <f>IF(H179="","",ROW()-3)</f>
        <v/>
      </c>
      <c r="C179" s="8" t="n"/>
      <c r="J179" s="8" t="n"/>
      <c r="Q179" t="inlineStr">
        <is>
          <t>Active</t>
        </is>
      </c>
    </row>
    <row r="180">
      <c r="A180">
        <f>IF(H180="","",ROW()-3)</f>
        <v/>
      </c>
      <c r="C180" s="8" t="n"/>
      <c r="J180" s="8" t="n"/>
      <c r="Q180" t="inlineStr">
        <is>
          <t>Active</t>
        </is>
      </c>
    </row>
    <row r="181">
      <c r="A181">
        <f>IF(H181="","",ROW()-3)</f>
        <v/>
      </c>
      <c r="C181" s="8" t="n"/>
      <c r="J181" s="8" t="n"/>
      <c r="Q181" t="inlineStr">
        <is>
          <t>Active</t>
        </is>
      </c>
    </row>
    <row r="182">
      <c r="A182">
        <f>IF(H182="","",ROW()-3)</f>
        <v/>
      </c>
      <c r="C182" s="8" t="n"/>
      <c r="J182" s="8" t="n"/>
      <c r="Q182" t="inlineStr">
        <is>
          <t>Active</t>
        </is>
      </c>
    </row>
    <row r="183">
      <c r="A183">
        <f>IF(H183="","",ROW()-3)</f>
        <v/>
      </c>
      <c r="C183" s="8" t="n"/>
      <c r="J183" s="8" t="n"/>
      <c r="Q183" t="inlineStr">
        <is>
          <t>Active</t>
        </is>
      </c>
    </row>
    <row r="184">
      <c r="A184">
        <f>IF(H184="","",ROW()-3)</f>
        <v/>
      </c>
      <c r="C184" s="8" t="n"/>
      <c r="J184" s="8" t="n"/>
      <c r="Q184" t="inlineStr">
        <is>
          <t>Active</t>
        </is>
      </c>
    </row>
    <row r="185">
      <c r="A185">
        <f>IF(H185="","",ROW()-3)</f>
        <v/>
      </c>
      <c r="C185" s="8" t="n"/>
      <c r="J185" s="8" t="n"/>
      <c r="Q185" t="inlineStr">
        <is>
          <t>Active</t>
        </is>
      </c>
    </row>
    <row r="186">
      <c r="A186">
        <f>IF(H186="","",ROW()-3)</f>
        <v/>
      </c>
      <c r="C186" s="8" t="n"/>
      <c r="J186" s="8" t="n"/>
      <c r="Q186" t="inlineStr">
        <is>
          <t>Active</t>
        </is>
      </c>
    </row>
    <row r="187">
      <c r="A187">
        <f>IF(H187="","",ROW()-3)</f>
        <v/>
      </c>
      <c r="C187" s="8" t="n"/>
      <c r="J187" s="8" t="n"/>
      <c r="Q187" t="inlineStr">
        <is>
          <t>Active</t>
        </is>
      </c>
    </row>
    <row r="188">
      <c r="A188">
        <f>IF(H188="","",ROW()-3)</f>
        <v/>
      </c>
      <c r="C188" s="8" t="n"/>
      <c r="J188" s="8" t="n"/>
      <c r="Q188" t="inlineStr">
        <is>
          <t>Active</t>
        </is>
      </c>
    </row>
    <row r="189">
      <c r="A189">
        <f>IF(H189="","",ROW()-3)</f>
        <v/>
      </c>
      <c r="C189" s="8" t="n"/>
      <c r="J189" s="8" t="n"/>
      <c r="Q189" t="inlineStr">
        <is>
          <t>Active</t>
        </is>
      </c>
    </row>
    <row r="190">
      <c r="A190">
        <f>IF(H190="","",ROW()-3)</f>
        <v/>
      </c>
      <c r="C190" s="8" t="n"/>
      <c r="J190" s="8" t="n"/>
      <c r="Q190" t="inlineStr">
        <is>
          <t>Active</t>
        </is>
      </c>
    </row>
    <row r="191">
      <c r="A191">
        <f>IF(H191="","",ROW()-3)</f>
        <v/>
      </c>
      <c r="C191" s="8" t="n"/>
      <c r="J191" s="8" t="n"/>
      <c r="Q191" t="inlineStr">
        <is>
          <t>Active</t>
        </is>
      </c>
    </row>
    <row r="192">
      <c r="A192">
        <f>IF(H192="","",ROW()-3)</f>
        <v/>
      </c>
      <c r="C192" s="8" t="n"/>
      <c r="J192" s="8" t="n"/>
      <c r="Q192" t="inlineStr">
        <is>
          <t>Active</t>
        </is>
      </c>
    </row>
    <row r="193">
      <c r="A193">
        <f>IF(H193="","",ROW()-3)</f>
        <v/>
      </c>
      <c r="C193" s="8" t="n"/>
      <c r="J193" s="8" t="n"/>
      <c r="Q193" t="inlineStr">
        <is>
          <t>Active</t>
        </is>
      </c>
    </row>
    <row r="194">
      <c r="A194">
        <f>IF(H194="","",ROW()-3)</f>
        <v/>
      </c>
      <c r="C194" s="8" t="n"/>
      <c r="J194" s="8" t="n"/>
      <c r="Q194" t="inlineStr">
        <is>
          <t>Active</t>
        </is>
      </c>
    </row>
    <row r="195">
      <c r="A195">
        <f>IF(H195="","",ROW()-3)</f>
        <v/>
      </c>
      <c r="C195" s="8" t="n"/>
      <c r="J195" s="8" t="n"/>
      <c r="Q195" t="inlineStr">
        <is>
          <t>Active</t>
        </is>
      </c>
    </row>
    <row r="196">
      <c r="A196">
        <f>IF(H196="","",ROW()-3)</f>
        <v/>
      </c>
      <c r="C196" s="8" t="n"/>
      <c r="J196" s="8" t="n"/>
      <c r="Q196" t="inlineStr">
        <is>
          <t>Active</t>
        </is>
      </c>
    </row>
    <row r="197">
      <c r="A197">
        <f>IF(H197="","",ROW()-3)</f>
        <v/>
      </c>
      <c r="C197" s="8" t="n"/>
      <c r="J197" s="8" t="n"/>
      <c r="Q197" t="inlineStr">
        <is>
          <t>Active</t>
        </is>
      </c>
    </row>
    <row r="198">
      <c r="A198">
        <f>IF(H198="","",ROW()-3)</f>
        <v/>
      </c>
      <c r="C198" s="8" t="n"/>
      <c r="J198" s="8" t="n"/>
      <c r="Q198" t="inlineStr">
        <is>
          <t>Active</t>
        </is>
      </c>
    </row>
    <row r="199">
      <c r="A199">
        <f>IF(H199="","",ROW()-3)</f>
        <v/>
      </c>
      <c r="C199" s="8" t="n"/>
      <c r="J199" s="8" t="n"/>
      <c r="Q199" t="inlineStr">
        <is>
          <t>Active</t>
        </is>
      </c>
    </row>
    <row r="200">
      <c r="A200">
        <f>IF(H200="","",ROW()-3)</f>
        <v/>
      </c>
      <c r="C200" s="8" t="n"/>
      <c r="J200" s="8" t="n"/>
      <c r="Q200" t="inlineStr">
        <is>
          <t>Active</t>
        </is>
      </c>
    </row>
    <row r="201">
      <c r="A201">
        <f>IF(H201="","",ROW()-3)</f>
        <v/>
      </c>
      <c r="C201" s="8" t="n"/>
      <c r="J201" s="8" t="n"/>
      <c r="Q201" t="inlineStr">
        <is>
          <t>Active</t>
        </is>
      </c>
    </row>
    <row r="202">
      <c r="A202">
        <f>IF(H202="","",ROW()-3)</f>
        <v/>
      </c>
      <c r="C202" s="8" t="n"/>
      <c r="J202" s="8" t="n"/>
      <c r="Q202" t="inlineStr">
        <is>
          <t>Active</t>
        </is>
      </c>
    </row>
    <row r="203">
      <c r="A203">
        <f>IF(H203="","",ROW()-3)</f>
        <v/>
      </c>
      <c r="C203" s="8" t="n"/>
      <c r="J203" s="8" t="n"/>
      <c r="Q203" t="inlineStr">
        <is>
          <t>Active</t>
        </is>
      </c>
    </row>
  </sheetData>
  <mergeCells count="1">
    <mergeCell ref="A1:R1"/>
  </mergeCells>
  <dataValidations count="3">
    <dataValidation sqref="I4:I203" showDropDown="0" showInputMessage="0" showErrorMessage="0" allowBlank="1" type="list">
      <formula1>=Settings!$B$5:$D$5</formula1>
    </dataValidation>
    <dataValidation sqref="Q4:Q203" showDropDown="0" showInputMessage="0" showErrorMessage="0" allowBlank="1" type="list">
      <formula1>=Settings!$B$6:$E$6</formula1>
    </dataValidation>
    <dataValidation sqref="E4:E203" showDropDown="0" showInputMessage="0" showErrorMessage="0" allowBlank="1" type="list">
      <formula1>=Settings!$B$4:$P$4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4" customWidth="1" min="4" max="4"/>
    <col width="14" customWidth="1" min="5" max="5"/>
    <col width="16" customWidth="1" min="6" max="6"/>
    <col width="18" customWidth="1" min="7" max="7"/>
    <col width="12" customWidth="1" min="8" max="8"/>
  </cols>
  <sheetData>
    <row r="1" ht="30" customHeight="1">
      <c r="A1" s="1" t="inlineStr">
        <is>
          <t>Subject Master</t>
        </is>
      </c>
    </row>
    <row r="3">
      <c r="A3" s="7" t="inlineStr">
        <is>
          <t>Subject ID</t>
        </is>
      </c>
      <c r="B3" s="7" t="inlineStr">
        <is>
          <t>Subject Name</t>
        </is>
      </c>
      <c r="C3" s="7" t="inlineStr">
        <is>
          <t>Class</t>
        </is>
      </c>
      <c r="D3" s="7" t="inlineStr">
        <is>
          <t>Full Marks</t>
        </is>
      </c>
      <c r="E3" s="7" t="inlineStr">
        <is>
          <t>Pass Marks</t>
        </is>
      </c>
      <c r="F3" s="7" t="inlineStr">
        <is>
          <t>Theory Marks</t>
        </is>
      </c>
      <c r="G3" s="7" t="inlineStr">
        <is>
          <t>Practical Marks</t>
        </is>
      </c>
      <c r="H3" s="7" t="inlineStr">
        <is>
          <t>Status</t>
        </is>
      </c>
    </row>
    <row r="4">
      <c r="A4" t="n">
        <v>1</v>
      </c>
      <c r="B4" t="inlineStr">
        <is>
          <t>English</t>
        </is>
      </c>
      <c r="C4" t="inlineStr">
        <is>
          <t>10</t>
        </is>
      </c>
      <c r="D4" t="n">
        <v>100</v>
      </c>
      <c r="E4" t="n">
        <v>40</v>
      </c>
      <c r="F4" t="n">
        <v>75</v>
      </c>
      <c r="G4" t="n">
        <v>25</v>
      </c>
      <c r="H4" t="inlineStr">
        <is>
          <t>Active</t>
        </is>
      </c>
    </row>
    <row r="5">
      <c r="A5" t="n">
        <v>2</v>
      </c>
      <c r="B5" t="inlineStr">
        <is>
          <t>Mathematics</t>
        </is>
      </c>
      <c r="C5" t="inlineStr">
        <is>
          <t>10</t>
        </is>
      </c>
      <c r="D5" t="n">
        <v>100</v>
      </c>
      <c r="E5" t="n">
        <v>40</v>
      </c>
      <c r="F5" t="n">
        <v>100</v>
      </c>
      <c r="G5" t="n">
        <v>0</v>
      </c>
      <c r="H5" t="inlineStr">
        <is>
          <t>Active</t>
        </is>
      </c>
    </row>
    <row r="6">
      <c r="A6" t="n">
        <v>3</v>
      </c>
      <c r="B6" t="inlineStr">
        <is>
          <t>Science</t>
        </is>
      </c>
      <c r="C6" t="inlineStr">
        <is>
          <t>10</t>
        </is>
      </c>
      <c r="D6" t="n">
        <v>100</v>
      </c>
      <c r="E6" t="n">
        <v>40</v>
      </c>
      <c r="F6" t="n">
        <v>75</v>
      </c>
      <c r="G6" t="n">
        <v>25</v>
      </c>
      <c r="H6" t="inlineStr">
        <is>
          <t>Active</t>
        </is>
      </c>
    </row>
    <row r="7">
      <c r="A7" t="n">
        <v>4</v>
      </c>
      <c r="B7" t="inlineStr">
        <is>
          <t>Nepali</t>
        </is>
      </c>
      <c r="C7" t="inlineStr">
        <is>
          <t>10</t>
        </is>
      </c>
      <c r="D7" t="n">
        <v>100</v>
      </c>
      <c r="E7" t="n">
        <v>40</v>
      </c>
      <c r="F7" t="n">
        <v>100</v>
      </c>
      <c r="G7" t="n">
        <v>0</v>
      </c>
      <c r="H7" t="inlineStr">
        <is>
          <t>Active</t>
        </is>
      </c>
    </row>
    <row r="8">
      <c r="A8" t="n">
        <v>5</v>
      </c>
      <c r="B8" t="inlineStr">
        <is>
          <t>Social Studies</t>
        </is>
      </c>
      <c r="C8" t="inlineStr">
        <is>
          <t>10</t>
        </is>
      </c>
      <c r="D8" t="n">
        <v>100</v>
      </c>
      <c r="E8" t="n">
        <v>40</v>
      </c>
      <c r="F8" t="n">
        <v>100</v>
      </c>
      <c r="G8" t="n">
        <v>0</v>
      </c>
      <c r="H8" t="inlineStr">
        <is>
          <t>Active</t>
        </is>
      </c>
    </row>
  </sheetData>
  <mergeCells count="1">
    <mergeCell ref="A1:H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4" customWidth="1" min="4" max="4"/>
    <col width="12" customWidth="1" min="5" max="5"/>
    <col width="10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24" customWidth="1" min="16" max="16"/>
  </cols>
  <sheetData>
    <row r="1" ht="30" customHeight="1">
      <c r="A1" s="1" t="inlineStr">
        <is>
          <t>Student Marks &amp; Result Entry</t>
        </is>
      </c>
    </row>
    <row r="3">
      <c r="A3" s="7" t="inlineStr">
        <is>
          <t>Exam</t>
        </is>
      </c>
      <c r="B3" s="7" t="inlineStr">
        <is>
          <t>Academic Year</t>
        </is>
      </c>
      <c r="C3" s="7" t="inlineStr">
        <is>
          <t>Student ID</t>
        </is>
      </c>
      <c r="D3" s="7" t="inlineStr">
        <is>
          <t>Student Name</t>
        </is>
      </c>
      <c r="E3" s="7" t="inlineStr">
        <is>
          <t>Class</t>
        </is>
      </c>
      <c r="F3" s="7" t="inlineStr">
        <is>
          <t>Section</t>
        </is>
      </c>
      <c r="G3" s="7" t="inlineStr">
        <is>
          <t>Subject</t>
        </is>
      </c>
      <c r="H3" s="7" t="inlineStr">
        <is>
          <t>Full Marks</t>
        </is>
      </c>
      <c r="I3" s="7" t="inlineStr">
        <is>
          <t>Pass Marks</t>
        </is>
      </c>
      <c r="J3" s="7" t="inlineStr">
        <is>
          <t>Theory</t>
        </is>
      </c>
      <c r="K3" s="7" t="inlineStr">
        <is>
          <t>Practical</t>
        </is>
      </c>
      <c r="L3" s="7" t="inlineStr">
        <is>
          <t>Total</t>
        </is>
      </c>
      <c r="M3" s="7" t="inlineStr">
        <is>
          <t>Percentage</t>
        </is>
      </c>
      <c r="N3" s="7" t="inlineStr">
        <is>
          <t>Grade</t>
        </is>
      </c>
      <c r="O3" s="7" t="inlineStr">
        <is>
          <t>Result</t>
        </is>
      </c>
      <c r="P3" s="7" t="inlineStr">
        <is>
          <t>Remarks</t>
        </is>
      </c>
    </row>
    <row r="4">
      <c r="L4">
        <f>IF(D4="","",J4+K4)</f>
        <v/>
      </c>
      <c r="M4" s="9">
        <f>IFERROR(L4/H4*100,"")</f>
        <v/>
      </c>
      <c r="N4">
        <f>IF(M4="","",IF(M4&gt;=90,"A+",IF(M4&gt;=80,"A",IF(M4&gt;=70,"B+",IF(M4&gt;=60,"B",IF(M4&gt;=50,"C+",IF(M4&gt;=40,"C","F")))))))</f>
        <v/>
      </c>
      <c r="O4">
        <f>IF(OR(J4&lt;I4,L4&lt;I4),"FAIL","PASS")</f>
        <v/>
      </c>
    </row>
    <row r="5">
      <c r="L5">
        <f>IF(D5="","",J5+K5)</f>
        <v/>
      </c>
      <c r="M5" s="9">
        <f>IFERROR(L5/H5*100,"")</f>
        <v/>
      </c>
      <c r="N5">
        <f>IF(M5="","",IF(M5&gt;=90,"A+",IF(M5&gt;=80,"A",IF(M5&gt;=70,"B+",IF(M5&gt;=60,"B",IF(M5&gt;=50,"C+",IF(M5&gt;=40,"C","F")))))))</f>
        <v/>
      </c>
      <c r="O5">
        <f>IF(OR(J5&lt;I5,L5&lt;I5),"FAIL","PASS")</f>
        <v/>
      </c>
    </row>
    <row r="6">
      <c r="L6">
        <f>IF(D6="","",J6+K6)</f>
        <v/>
      </c>
      <c r="M6" s="9">
        <f>IFERROR(L6/H6*100,"")</f>
        <v/>
      </c>
      <c r="N6">
        <f>IF(M6="","",IF(M6&gt;=90,"A+",IF(M6&gt;=80,"A",IF(M6&gt;=70,"B+",IF(M6&gt;=60,"B",IF(M6&gt;=50,"C+",IF(M6&gt;=40,"C","F")))))))</f>
        <v/>
      </c>
      <c r="O6">
        <f>IF(OR(J6&lt;I6,L6&lt;I6),"FAIL","PASS")</f>
        <v/>
      </c>
    </row>
    <row r="7">
      <c r="L7">
        <f>IF(D7="","",J7+K7)</f>
        <v/>
      </c>
      <c r="M7" s="9">
        <f>IFERROR(L7/H7*100,"")</f>
        <v/>
      </c>
      <c r="N7">
        <f>IF(M7="","",IF(M7&gt;=90,"A+",IF(M7&gt;=80,"A",IF(M7&gt;=70,"B+",IF(M7&gt;=60,"B",IF(M7&gt;=50,"C+",IF(M7&gt;=40,"C","F")))))))</f>
        <v/>
      </c>
      <c r="O7">
        <f>IF(OR(J7&lt;I7,L7&lt;I7),"FAIL","PASS")</f>
        <v/>
      </c>
    </row>
    <row r="8">
      <c r="L8">
        <f>IF(D8="","",J8+K8)</f>
        <v/>
      </c>
      <c r="M8" s="9">
        <f>IFERROR(L8/H8*100,"")</f>
        <v/>
      </c>
      <c r="N8">
        <f>IF(M8="","",IF(M8&gt;=90,"A+",IF(M8&gt;=80,"A",IF(M8&gt;=70,"B+",IF(M8&gt;=60,"B",IF(M8&gt;=50,"C+",IF(M8&gt;=40,"C","F")))))))</f>
        <v/>
      </c>
      <c r="O8">
        <f>IF(OR(J8&lt;I8,L8&lt;I8),"FAIL","PASS")</f>
        <v/>
      </c>
    </row>
    <row r="9">
      <c r="L9">
        <f>IF(D9="","",J9+K9)</f>
        <v/>
      </c>
      <c r="M9" s="9">
        <f>IFERROR(L9/H9*100,"")</f>
        <v/>
      </c>
      <c r="N9">
        <f>IF(M9="","",IF(M9&gt;=90,"A+",IF(M9&gt;=80,"A",IF(M9&gt;=70,"B+",IF(M9&gt;=60,"B",IF(M9&gt;=50,"C+",IF(M9&gt;=40,"C","F")))))))</f>
        <v/>
      </c>
      <c r="O9">
        <f>IF(OR(J9&lt;I9,L9&lt;I9),"FAIL","PASS")</f>
        <v/>
      </c>
    </row>
    <row r="10">
      <c r="L10">
        <f>IF(D10="","",J10+K10)</f>
        <v/>
      </c>
      <c r="M10" s="9">
        <f>IFERROR(L10/H10*100,"")</f>
        <v/>
      </c>
      <c r="N10">
        <f>IF(M10="","",IF(M10&gt;=90,"A+",IF(M10&gt;=80,"A",IF(M10&gt;=70,"B+",IF(M10&gt;=60,"B",IF(M10&gt;=50,"C+",IF(M10&gt;=40,"C","F")))))))</f>
        <v/>
      </c>
      <c r="O10">
        <f>IF(OR(J10&lt;I10,L10&lt;I10),"FAIL","PASS")</f>
        <v/>
      </c>
    </row>
    <row r="11">
      <c r="L11">
        <f>IF(D11="","",J11+K11)</f>
        <v/>
      </c>
      <c r="M11" s="9">
        <f>IFERROR(L11/H11*100,"")</f>
        <v/>
      </c>
      <c r="N11">
        <f>IF(M11="","",IF(M11&gt;=90,"A+",IF(M11&gt;=80,"A",IF(M11&gt;=70,"B+",IF(M11&gt;=60,"B",IF(M11&gt;=50,"C+",IF(M11&gt;=40,"C","F")))))))</f>
        <v/>
      </c>
      <c r="O11">
        <f>IF(OR(J11&lt;I11,L11&lt;I11),"FAIL","PASS")</f>
        <v/>
      </c>
    </row>
    <row r="12">
      <c r="L12">
        <f>IF(D12="","",J12+K12)</f>
        <v/>
      </c>
      <c r="M12" s="9">
        <f>IFERROR(L12/H12*100,"")</f>
        <v/>
      </c>
      <c r="N12">
        <f>IF(M12="","",IF(M12&gt;=90,"A+",IF(M12&gt;=80,"A",IF(M12&gt;=70,"B+",IF(M12&gt;=60,"B",IF(M12&gt;=50,"C+",IF(M12&gt;=40,"C","F")))))))</f>
        <v/>
      </c>
      <c r="O12">
        <f>IF(OR(J12&lt;I12,L12&lt;I12),"FAIL","PASS")</f>
        <v/>
      </c>
    </row>
    <row r="13">
      <c r="L13">
        <f>IF(D13="","",J13+K13)</f>
        <v/>
      </c>
      <c r="M13" s="9">
        <f>IFERROR(L13/H13*100,"")</f>
        <v/>
      </c>
      <c r="N13">
        <f>IF(M13="","",IF(M13&gt;=90,"A+",IF(M13&gt;=80,"A",IF(M13&gt;=70,"B+",IF(M13&gt;=60,"B",IF(M13&gt;=50,"C+",IF(M13&gt;=40,"C","F")))))))</f>
        <v/>
      </c>
      <c r="O13">
        <f>IF(OR(J13&lt;I13,L13&lt;I13),"FAIL","PASS")</f>
        <v/>
      </c>
    </row>
    <row r="14">
      <c r="L14">
        <f>IF(D14="","",J14+K14)</f>
        <v/>
      </c>
      <c r="M14" s="9">
        <f>IFERROR(L14/H14*100,"")</f>
        <v/>
      </c>
      <c r="N14">
        <f>IF(M14="","",IF(M14&gt;=90,"A+",IF(M14&gt;=80,"A",IF(M14&gt;=70,"B+",IF(M14&gt;=60,"B",IF(M14&gt;=50,"C+",IF(M14&gt;=40,"C","F")))))))</f>
        <v/>
      </c>
      <c r="O14">
        <f>IF(OR(J14&lt;I14,L14&lt;I14),"FAIL","PASS")</f>
        <v/>
      </c>
    </row>
    <row r="15">
      <c r="L15">
        <f>IF(D15="","",J15+K15)</f>
        <v/>
      </c>
      <c r="M15" s="9">
        <f>IFERROR(L15/H15*100,"")</f>
        <v/>
      </c>
      <c r="N15">
        <f>IF(M15="","",IF(M15&gt;=90,"A+",IF(M15&gt;=80,"A",IF(M15&gt;=70,"B+",IF(M15&gt;=60,"B",IF(M15&gt;=50,"C+",IF(M15&gt;=40,"C","F")))))))</f>
        <v/>
      </c>
      <c r="O15">
        <f>IF(OR(J15&lt;I15,L15&lt;I15),"FAIL","PASS")</f>
        <v/>
      </c>
    </row>
    <row r="16">
      <c r="L16">
        <f>IF(D16="","",J16+K16)</f>
        <v/>
      </c>
      <c r="M16" s="9">
        <f>IFERROR(L16/H16*100,"")</f>
        <v/>
      </c>
      <c r="N16">
        <f>IF(M16="","",IF(M16&gt;=90,"A+",IF(M16&gt;=80,"A",IF(M16&gt;=70,"B+",IF(M16&gt;=60,"B",IF(M16&gt;=50,"C+",IF(M16&gt;=40,"C","F")))))))</f>
        <v/>
      </c>
      <c r="O16">
        <f>IF(OR(J16&lt;I16,L16&lt;I16),"FAIL","PASS")</f>
        <v/>
      </c>
    </row>
    <row r="17">
      <c r="L17">
        <f>IF(D17="","",J17+K17)</f>
        <v/>
      </c>
      <c r="M17" s="9">
        <f>IFERROR(L17/H17*100,"")</f>
        <v/>
      </c>
      <c r="N17">
        <f>IF(M17="","",IF(M17&gt;=90,"A+",IF(M17&gt;=80,"A",IF(M17&gt;=70,"B+",IF(M17&gt;=60,"B",IF(M17&gt;=50,"C+",IF(M17&gt;=40,"C","F")))))))</f>
        <v/>
      </c>
      <c r="O17">
        <f>IF(OR(J17&lt;I17,L17&lt;I17),"FAIL","PASS")</f>
        <v/>
      </c>
    </row>
    <row r="18">
      <c r="L18">
        <f>IF(D18="","",J18+K18)</f>
        <v/>
      </c>
      <c r="M18" s="9">
        <f>IFERROR(L18/H18*100,"")</f>
        <v/>
      </c>
      <c r="N18">
        <f>IF(M18="","",IF(M18&gt;=90,"A+",IF(M18&gt;=80,"A",IF(M18&gt;=70,"B+",IF(M18&gt;=60,"B",IF(M18&gt;=50,"C+",IF(M18&gt;=40,"C","F")))))))</f>
        <v/>
      </c>
      <c r="O18">
        <f>IF(OR(J18&lt;I18,L18&lt;I18),"FAIL","PASS")</f>
        <v/>
      </c>
    </row>
    <row r="19">
      <c r="L19">
        <f>IF(D19="","",J19+K19)</f>
        <v/>
      </c>
      <c r="M19" s="9">
        <f>IFERROR(L19/H19*100,"")</f>
        <v/>
      </c>
      <c r="N19">
        <f>IF(M19="","",IF(M19&gt;=90,"A+",IF(M19&gt;=80,"A",IF(M19&gt;=70,"B+",IF(M19&gt;=60,"B",IF(M19&gt;=50,"C+",IF(M19&gt;=40,"C","F")))))))</f>
        <v/>
      </c>
      <c r="O19">
        <f>IF(OR(J19&lt;I19,L19&lt;I19),"FAIL","PASS")</f>
        <v/>
      </c>
    </row>
    <row r="20">
      <c r="L20">
        <f>IF(D20="","",J20+K20)</f>
        <v/>
      </c>
      <c r="M20" s="9">
        <f>IFERROR(L20/H20*100,"")</f>
        <v/>
      </c>
      <c r="N20">
        <f>IF(M20="","",IF(M20&gt;=90,"A+",IF(M20&gt;=80,"A",IF(M20&gt;=70,"B+",IF(M20&gt;=60,"B",IF(M20&gt;=50,"C+",IF(M20&gt;=40,"C","F")))))))</f>
        <v/>
      </c>
      <c r="O20">
        <f>IF(OR(J20&lt;I20,L20&lt;I20),"FAIL","PASS")</f>
        <v/>
      </c>
    </row>
    <row r="21">
      <c r="L21">
        <f>IF(D21="","",J21+K21)</f>
        <v/>
      </c>
      <c r="M21" s="9">
        <f>IFERROR(L21/H21*100,"")</f>
        <v/>
      </c>
      <c r="N21">
        <f>IF(M21="","",IF(M21&gt;=90,"A+",IF(M21&gt;=80,"A",IF(M21&gt;=70,"B+",IF(M21&gt;=60,"B",IF(M21&gt;=50,"C+",IF(M21&gt;=40,"C","F")))))))</f>
        <v/>
      </c>
      <c r="O21">
        <f>IF(OR(J21&lt;I21,L21&lt;I21),"FAIL","PASS")</f>
        <v/>
      </c>
    </row>
    <row r="22">
      <c r="L22">
        <f>IF(D22="","",J22+K22)</f>
        <v/>
      </c>
      <c r="M22" s="9">
        <f>IFERROR(L22/H22*100,"")</f>
        <v/>
      </c>
      <c r="N22">
        <f>IF(M22="","",IF(M22&gt;=90,"A+",IF(M22&gt;=80,"A",IF(M22&gt;=70,"B+",IF(M22&gt;=60,"B",IF(M22&gt;=50,"C+",IF(M22&gt;=40,"C","F")))))))</f>
        <v/>
      </c>
      <c r="O22">
        <f>IF(OR(J22&lt;I22,L22&lt;I22),"FAIL","PASS")</f>
        <v/>
      </c>
    </row>
    <row r="23">
      <c r="L23">
        <f>IF(D23="","",J23+K23)</f>
        <v/>
      </c>
      <c r="M23" s="9">
        <f>IFERROR(L23/H23*100,"")</f>
        <v/>
      </c>
      <c r="N23">
        <f>IF(M23="","",IF(M23&gt;=90,"A+",IF(M23&gt;=80,"A",IF(M23&gt;=70,"B+",IF(M23&gt;=60,"B",IF(M23&gt;=50,"C+",IF(M23&gt;=40,"C","F")))))))</f>
        <v/>
      </c>
      <c r="O23">
        <f>IF(OR(J23&lt;I23,L23&lt;I23),"FAIL","PASS")</f>
        <v/>
      </c>
    </row>
    <row r="24">
      <c r="L24">
        <f>IF(D24="","",J24+K24)</f>
        <v/>
      </c>
      <c r="M24" s="9">
        <f>IFERROR(L24/H24*100,"")</f>
        <v/>
      </c>
      <c r="N24">
        <f>IF(M24="","",IF(M24&gt;=90,"A+",IF(M24&gt;=80,"A",IF(M24&gt;=70,"B+",IF(M24&gt;=60,"B",IF(M24&gt;=50,"C+",IF(M24&gt;=40,"C","F")))))))</f>
        <v/>
      </c>
      <c r="O24">
        <f>IF(OR(J24&lt;I24,L24&lt;I24),"FAIL","PASS")</f>
        <v/>
      </c>
    </row>
    <row r="25">
      <c r="L25">
        <f>IF(D25="","",J25+K25)</f>
        <v/>
      </c>
      <c r="M25" s="9">
        <f>IFERROR(L25/H25*100,"")</f>
        <v/>
      </c>
      <c r="N25">
        <f>IF(M25="","",IF(M25&gt;=90,"A+",IF(M25&gt;=80,"A",IF(M25&gt;=70,"B+",IF(M25&gt;=60,"B",IF(M25&gt;=50,"C+",IF(M25&gt;=40,"C","F")))))))</f>
        <v/>
      </c>
      <c r="O25">
        <f>IF(OR(J25&lt;I25,L25&lt;I25),"FAIL","PASS")</f>
        <v/>
      </c>
    </row>
    <row r="26">
      <c r="L26">
        <f>IF(D26="","",J26+K26)</f>
        <v/>
      </c>
      <c r="M26" s="9">
        <f>IFERROR(L26/H26*100,"")</f>
        <v/>
      </c>
      <c r="N26">
        <f>IF(M26="","",IF(M26&gt;=90,"A+",IF(M26&gt;=80,"A",IF(M26&gt;=70,"B+",IF(M26&gt;=60,"B",IF(M26&gt;=50,"C+",IF(M26&gt;=40,"C","F")))))))</f>
        <v/>
      </c>
      <c r="O26">
        <f>IF(OR(J26&lt;I26,L26&lt;I26),"FAIL","PASS")</f>
        <v/>
      </c>
    </row>
    <row r="27">
      <c r="L27">
        <f>IF(D27="","",J27+K27)</f>
        <v/>
      </c>
      <c r="M27" s="9">
        <f>IFERROR(L27/H27*100,"")</f>
        <v/>
      </c>
      <c r="N27">
        <f>IF(M27="","",IF(M27&gt;=90,"A+",IF(M27&gt;=80,"A",IF(M27&gt;=70,"B+",IF(M27&gt;=60,"B",IF(M27&gt;=50,"C+",IF(M27&gt;=40,"C","F")))))))</f>
        <v/>
      </c>
      <c r="O27">
        <f>IF(OR(J27&lt;I27,L27&lt;I27),"FAIL","PASS")</f>
        <v/>
      </c>
    </row>
    <row r="28">
      <c r="L28">
        <f>IF(D28="","",J28+K28)</f>
        <v/>
      </c>
      <c r="M28" s="9">
        <f>IFERROR(L28/H28*100,"")</f>
        <v/>
      </c>
      <c r="N28">
        <f>IF(M28="","",IF(M28&gt;=90,"A+",IF(M28&gt;=80,"A",IF(M28&gt;=70,"B+",IF(M28&gt;=60,"B",IF(M28&gt;=50,"C+",IF(M28&gt;=40,"C","F")))))))</f>
        <v/>
      </c>
      <c r="O28">
        <f>IF(OR(J28&lt;I28,L28&lt;I28),"FAIL","PASS")</f>
        <v/>
      </c>
    </row>
    <row r="29">
      <c r="L29">
        <f>IF(D29="","",J29+K29)</f>
        <v/>
      </c>
      <c r="M29" s="9">
        <f>IFERROR(L29/H29*100,"")</f>
        <v/>
      </c>
      <c r="N29">
        <f>IF(M29="","",IF(M29&gt;=90,"A+",IF(M29&gt;=80,"A",IF(M29&gt;=70,"B+",IF(M29&gt;=60,"B",IF(M29&gt;=50,"C+",IF(M29&gt;=40,"C","F")))))))</f>
        <v/>
      </c>
      <c r="O29">
        <f>IF(OR(J29&lt;I29,L29&lt;I29),"FAIL","PASS")</f>
        <v/>
      </c>
    </row>
    <row r="30">
      <c r="L30">
        <f>IF(D30="","",J30+K30)</f>
        <v/>
      </c>
      <c r="M30" s="9">
        <f>IFERROR(L30/H30*100,"")</f>
        <v/>
      </c>
      <c r="N30">
        <f>IF(M30="","",IF(M30&gt;=90,"A+",IF(M30&gt;=80,"A",IF(M30&gt;=70,"B+",IF(M30&gt;=60,"B",IF(M30&gt;=50,"C+",IF(M30&gt;=40,"C","F")))))))</f>
        <v/>
      </c>
      <c r="O30">
        <f>IF(OR(J30&lt;I30,L30&lt;I30),"FAIL","PASS")</f>
        <v/>
      </c>
    </row>
    <row r="31">
      <c r="L31">
        <f>IF(D31="","",J31+K31)</f>
        <v/>
      </c>
      <c r="M31" s="9">
        <f>IFERROR(L31/H31*100,"")</f>
        <v/>
      </c>
      <c r="N31">
        <f>IF(M31="","",IF(M31&gt;=90,"A+",IF(M31&gt;=80,"A",IF(M31&gt;=70,"B+",IF(M31&gt;=60,"B",IF(M31&gt;=50,"C+",IF(M31&gt;=40,"C","F")))))))</f>
        <v/>
      </c>
      <c r="O31">
        <f>IF(OR(J31&lt;I31,L31&lt;I31),"FAIL","PASS")</f>
        <v/>
      </c>
    </row>
    <row r="32">
      <c r="L32">
        <f>IF(D32="","",J32+K32)</f>
        <v/>
      </c>
      <c r="M32" s="9">
        <f>IFERROR(L32/H32*100,"")</f>
        <v/>
      </c>
      <c r="N32">
        <f>IF(M32="","",IF(M32&gt;=90,"A+",IF(M32&gt;=80,"A",IF(M32&gt;=70,"B+",IF(M32&gt;=60,"B",IF(M32&gt;=50,"C+",IF(M32&gt;=40,"C","F")))))))</f>
        <v/>
      </c>
      <c r="O32">
        <f>IF(OR(J32&lt;I32,L32&lt;I32),"FAIL","PASS")</f>
        <v/>
      </c>
    </row>
    <row r="33">
      <c r="L33">
        <f>IF(D33="","",J33+K33)</f>
        <v/>
      </c>
      <c r="M33" s="9">
        <f>IFERROR(L33/H33*100,"")</f>
        <v/>
      </c>
      <c r="N33">
        <f>IF(M33="","",IF(M33&gt;=90,"A+",IF(M33&gt;=80,"A",IF(M33&gt;=70,"B+",IF(M33&gt;=60,"B",IF(M33&gt;=50,"C+",IF(M33&gt;=40,"C","F")))))))</f>
        <v/>
      </c>
      <c r="O33">
        <f>IF(OR(J33&lt;I33,L33&lt;I33),"FAIL","PASS")</f>
        <v/>
      </c>
    </row>
    <row r="34">
      <c r="L34">
        <f>IF(D34="","",J34+K34)</f>
        <v/>
      </c>
      <c r="M34" s="9">
        <f>IFERROR(L34/H34*100,"")</f>
        <v/>
      </c>
      <c r="N34">
        <f>IF(M34="","",IF(M34&gt;=90,"A+",IF(M34&gt;=80,"A",IF(M34&gt;=70,"B+",IF(M34&gt;=60,"B",IF(M34&gt;=50,"C+",IF(M34&gt;=40,"C","F")))))))</f>
        <v/>
      </c>
      <c r="O34">
        <f>IF(OR(J34&lt;I34,L34&lt;I34),"FAIL","PASS")</f>
        <v/>
      </c>
    </row>
    <row r="35">
      <c r="L35">
        <f>IF(D35="","",J35+K35)</f>
        <v/>
      </c>
      <c r="M35" s="9">
        <f>IFERROR(L35/H35*100,"")</f>
        <v/>
      </c>
      <c r="N35">
        <f>IF(M35="","",IF(M35&gt;=90,"A+",IF(M35&gt;=80,"A",IF(M35&gt;=70,"B+",IF(M35&gt;=60,"B",IF(M35&gt;=50,"C+",IF(M35&gt;=40,"C","F")))))))</f>
        <v/>
      </c>
      <c r="O35">
        <f>IF(OR(J35&lt;I35,L35&lt;I35),"FAIL","PASS")</f>
        <v/>
      </c>
    </row>
    <row r="36">
      <c r="L36">
        <f>IF(D36="","",J36+K36)</f>
        <v/>
      </c>
      <c r="M36" s="9">
        <f>IFERROR(L36/H36*100,"")</f>
        <v/>
      </c>
      <c r="N36">
        <f>IF(M36="","",IF(M36&gt;=90,"A+",IF(M36&gt;=80,"A",IF(M36&gt;=70,"B+",IF(M36&gt;=60,"B",IF(M36&gt;=50,"C+",IF(M36&gt;=40,"C","F")))))))</f>
        <v/>
      </c>
      <c r="O36">
        <f>IF(OR(J36&lt;I36,L36&lt;I36),"FAIL","PASS")</f>
        <v/>
      </c>
    </row>
    <row r="37">
      <c r="L37">
        <f>IF(D37="","",J37+K37)</f>
        <v/>
      </c>
      <c r="M37" s="9">
        <f>IFERROR(L37/H37*100,"")</f>
        <v/>
      </c>
      <c r="N37">
        <f>IF(M37="","",IF(M37&gt;=90,"A+",IF(M37&gt;=80,"A",IF(M37&gt;=70,"B+",IF(M37&gt;=60,"B",IF(M37&gt;=50,"C+",IF(M37&gt;=40,"C","F")))))))</f>
        <v/>
      </c>
      <c r="O37">
        <f>IF(OR(J37&lt;I37,L37&lt;I37),"FAIL","PASS")</f>
        <v/>
      </c>
    </row>
    <row r="38">
      <c r="L38">
        <f>IF(D38="","",J38+K38)</f>
        <v/>
      </c>
      <c r="M38" s="9">
        <f>IFERROR(L38/H38*100,"")</f>
        <v/>
      </c>
      <c r="N38">
        <f>IF(M38="","",IF(M38&gt;=90,"A+",IF(M38&gt;=80,"A",IF(M38&gt;=70,"B+",IF(M38&gt;=60,"B",IF(M38&gt;=50,"C+",IF(M38&gt;=40,"C","F")))))))</f>
        <v/>
      </c>
      <c r="O38">
        <f>IF(OR(J38&lt;I38,L38&lt;I38),"FAIL","PASS")</f>
        <v/>
      </c>
    </row>
    <row r="39">
      <c r="L39">
        <f>IF(D39="","",J39+K39)</f>
        <v/>
      </c>
      <c r="M39" s="9">
        <f>IFERROR(L39/H39*100,"")</f>
        <v/>
      </c>
      <c r="N39">
        <f>IF(M39="","",IF(M39&gt;=90,"A+",IF(M39&gt;=80,"A",IF(M39&gt;=70,"B+",IF(M39&gt;=60,"B",IF(M39&gt;=50,"C+",IF(M39&gt;=40,"C","F")))))))</f>
        <v/>
      </c>
      <c r="O39">
        <f>IF(OR(J39&lt;I39,L39&lt;I39),"FAIL","PASS")</f>
        <v/>
      </c>
    </row>
    <row r="40">
      <c r="L40">
        <f>IF(D40="","",J40+K40)</f>
        <v/>
      </c>
      <c r="M40" s="9">
        <f>IFERROR(L40/H40*100,"")</f>
        <v/>
      </c>
      <c r="N40">
        <f>IF(M40="","",IF(M40&gt;=90,"A+",IF(M40&gt;=80,"A",IF(M40&gt;=70,"B+",IF(M40&gt;=60,"B",IF(M40&gt;=50,"C+",IF(M40&gt;=40,"C","F")))))))</f>
        <v/>
      </c>
      <c r="O40">
        <f>IF(OR(J40&lt;I40,L40&lt;I40),"FAIL","PASS")</f>
        <v/>
      </c>
    </row>
    <row r="41">
      <c r="L41">
        <f>IF(D41="","",J41+K41)</f>
        <v/>
      </c>
      <c r="M41" s="9">
        <f>IFERROR(L41/H41*100,"")</f>
        <v/>
      </c>
      <c r="N41">
        <f>IF(M41="","",IF(M41&gt;=90,"A+",IF(M41&gt;=80,"A",IF(M41&gt;=70,"B+",IF(M41&gt;=60,"B",IF(M41&gt;=50,"C+",IF(M41&gt;=40,"C","F")))))))</f>
        <v/>
      </c>
      <c r="O41">
        <f>IF(OR(J41&lt;I41,L41&lt;I41),"FAIL","PASS")</f>
        <v/>
      </c>
    </row>
    <row r="42">
      <c r="L42">
        <f>IF(D42="","",J42+K42)</f>
        <v/>
      </c>
      <c r="M42" s="9">
        <f>IFERROR(L42/H42*100,"")</f>
        <v/>
      </c>
      <c r="N42">
        <f>IF(M42="","",IF(M42&gt;=90,"A+",IF(M42&gt;=80,"A",IF(M42&gt;=70,"B+",IF(M42&gt;=60,"B",IF(M42&gt;=50,"C+",IF(M42&gt;=40,"C","F")))))))</f>
        <v/>
      </c>
      <c r="O42">
        <f>IF(OR(J42&lt;I42,L42&lt;I42),"FAIL","PASS")</f>
        <v/>
      </c>
    </row>
    <row r="43">
      <c r="L43">
        <f>IF(D43="","",J43+K43)</f>
        <v/>
      </c>
      <c r="M43" s="9">
        <f>IFERROR(L43/H43*100,"")</f>
        <v/>
      </c>
      <c r="N43">
        <f>IF(M43="","",IF(M43&gt;=90,"A+",IF(M43&gt;=80,"A",IF(M43&gt;=70,"B+",IF(M43&gt;=60,"B",IF(M43&gt;=50,"C+",IF(M43&gt;=40,"C","F")))))))</f>
        <v/>
      </c>
      <c r="O43">
        <f>IF(OR(J43&lt;I43,L43&lt;I43),"FAIL","PASS")</f>
        <v/>
      </c>
    </row>
    <row r="44">
      <c r="L44">
        <f>IF(D44="","",J44+K44)</f>
        <v/>
      </c>
      <c r="M44" s="9">
        <f>IFERROR(L44/H44*100,"")</f>
        <v/>
      </c>
      <c r="N44">
        <f>IF(M44="","",IF(M44&gt;=90,"A+",IF(M44&gt;=80,"A",IF(M44&gt;=70,"B+",IF(M44&gt;=60,"B",IF(M44&gt;=50,"C+",IF(M44&gt;=40,"C","F")))))))</f>
        <v/>
      </c>
      <c r="O44">
        <f>IF(OR(J44&lt;I44,L44&lt;I44),"FAIL","PASS")</f>
        <v/>
      </c>
    </row>
    <row r="45">
      <c r="L45">
        <f>IF(D45="","",J45+K45)</f>
        <v/>
      </c>
      <c r="M45" s="9">
        <f>IFERROR(L45/H45*100,"")</f>
        <v/>
      </c>
      <c r="N45">
        <f>IF(M45="","",IF(M45&gt;=90,"A+",IF(M45&gt;=80,"A",IF(M45&gt;=70,"B+",IF(M45&gt;=60,"B",IF(M45&gt;=50,"C+",IF(M45&gt;=40,"C","F")))))))</f>
        <v/>
      </c>
      <c r="O45">
        <f>IF(OR(J45&lt;I45,L45&lt;I45),"FAIL","PASS")</f>
        <v/>
      </c>
    </row>
    <row r="46">
      <c r="L46">
        <f>IF(D46="","",J46+K46)</f>
        <v/>
      </c>
      <c r="M46" s="9">
        <f>IFERROR(L46/H46*100,"")</f>
        <v/>
      </c>
      <c r="N46">
        <f>IF(M46="","",IF(M46&gt;=90,"A+",IF(M46&gt;=80,"A",IF(M46&gt;=70,"B+",IF(M46&gt;=60,"B",IF(M46&gt;=50,"C+",IF(M46&gt;=40,"C","F")))))))</f>
        <v/>
      </c>
      <c r="O46">
        <f>IF(OR(J46&lt;I46,L46&lt;I46),"FAIL","PASS")</f>
        <v/>
      </c>
    </row>
    <row r="47">
      <c r="L47">
        <f>IF(D47="","",J47+K47)</f>
        <v/>
      </c>
      <c r="M47" s="9">
        <f>IFERROR(L47/H47*100,"")</f>
        <v/>
      </c>
      <c r="N47">
        <f>IF(M47="","",IF(M47&gt;=90,"A+",IF(M47&gt;=80,"A",IF(M47&gt;=70,"B+",IF(M47&gt;=60,"B",IF(M47&gt;=50,"C+",IF(M47&gt;=40,"C","F")))))))</f>
        <v/>
      </c>
      <c r="O47">
        <f>IF(OR(J47&lt;I47,L47&lt;I47),"FAIL","PASS")</f>
        <v/>
      </c>
    </row>
    <row r="48">
      <c r="L48">
        <f>IF(D48="","",J48+K48)</f>
        <v/>
      </c>
      <c r="M48" s="9">
        <f>IFERROR(L48/H48*100,"")</f>
        <v/>
      </c>
      <c r="N48">
        <f>IF(M48="","",IF(M48&gt;=90,"A+",IF(M48&gt;=80,"A",IF(M48&gt;=70,"B+",IF(M48&gt;=60,"B",IF(M48&gt;=50,"C+",IF(M48&gt;=40,"C","F")))))))</f>
        <v/>
      </c>
      <c r="O48">
        <f>IF(OR(J48&lt;I48,L48&lt;I48),"FAIL","PASS")</f>
        <v/>
      </c>
    </row>
    <row r="49">
      <c r="L49">
        <f>IF(D49="","",J49+K49)</f>
        <v/>
      </c>
      <c r="M49" s="9">
        <f>IFERROR(L49/H49*100,"")</f>
        <v/>
      </c>
      <c r="N49">
        <f>IF(M49="","",IF(M49&gt;=90,"A+",IF(M49&gt;=80,"A",IF(M49&gt;=70,"B+",IF(M49&gt;=60,"B",IF(M49&gt;=50,"C+",IF(M49&gt;=40,"C","F")))))))</f>
        <v/>
      </c>
      <c r="O49">
        <f>IF(OR(J49&lt;I49,L49&lt;I49),"FAIL","PASS")</f>
        <v/>
      </c>
    </row>
    <row r="50">
      <c r="L50">
        <f>IF(D50="","",J50+K50)</f>
        <v/>
      </c>
      <c r="M50" s="9">
        <f>IFERROR(L50/H50*100,"")</f>
        <v/>
      </c>
      <c r="N50">
        <f>IF(M50="","",IF(M50&gt;=90,"A+",IF(M50&gt;=80,"A",IF(M50&gt;=70,"B+",IF(M50&gt;=60,"B",IF(M50&gt;=50,"C+",IF(M50&gt;=40,"C","F")))))))</f>
        <v/>
      </c>
      <c r="O50">
        <f>IF(OR(J50&lt;I50,L50&lt;I50),"FAIL","PASS")</f>
        <v/>
      </c>
    </row>
    <row r="51">
      <c r="L51">
        <f>IF(D51="","",J51+K51)</f>
        <v/>
      </c>
      <c r="M51" s="9">
        <f>IFERROR(L51/H51*100,"")</f>
        <v/>
      </c>
      <c r="N51">
        <f>IF(M51="","",IF(M51&gt;=90,"A+",IF(M51&gt;=80,"A",IF(M51&gt;=70,"B+",IF(M51&gt;=60,"B",IF(M51&gt;=50,"C+",IF(M51&gt;=40,"C","F")))))))</f>
        <v/>
      </c>
      <c r="O51">
        <f>IF(OR(J51&lt;I51,L51&lt;I51),"FAIL","PASS")</f>
        <v/>
      </c>
    </row>
    <row r="52">
      <c r="L52">
        <f>IF(D52="","",J52+K52)</f>
        <v/>
      </c>
      <c r="M52" s="9">
        <f>IFERROR(L52/H52*100,"")</f>
        <v/>
      </c>
      <c r="N52">
        <f>IF(M52="","",IF(M52&gt;=90,"A+",IF(M52&gt;=80,"A",IF(M52&gt;=70,"B+",IF(M52&gt;=60,"B",IF(M52&gt;=50,"C+",IF(M52&gt;=40,"C","F")))))))</f>
        <v/>
      </c>
      <c r="O52">
        <f>IF(OR(J52&lt;I52,L52&lt;I52),"FAIL","PASS")</f>
        <v/>
      </c>
    </row>
    <row r="53">
      <c r="L53">
        <f>IF(D53="","",J53+K53)</f>
        <v/>
      </c>
      <c r="M53" s="9">
        <f>IFERROR(L53/H53*100,"")</f>
        <v/>
      </c>
      <c r="N53">
        <f>IF(M53="","",IF(M53&gt;=90,"A+",IF(M53&gt;=80,"A",IF(M53&gt;=70,"B+",IF(M53&gt;=60,"B",IF(M53&gt;=50,"C+",IF(M53&gt;=40,"C","F")))))))</f>
        <v/>
      </c>
      <c r="O53">
        <f>IF(OR(J53&lt;I53,L53&lt;I53),"FAIL","PASS")</f>
        <v/>
      </c>
    </row>
    <row r="54">
      <c r="L54">
        <f>IF(D54="","",J54+K54)</f>
        <v/>
      </c>
      <c r="M54" s="9">
        <f>IFERROR(L54/H54*100,"")</f>
        <v/>
      </c>
      <c r="N54">
        <f>IF(M54="","",IF(M54&gt;=90,"A+",IF(M54&gt;=80,"A",IF(M54&gt;=70,"B+",IF(M54&gt;=60,"B",IF(M54&gt;=50,"C+",IF(M54&gt;=40,"C","F")))))))</f>
        <v/>
      </c>
      <c r="O54">
        <f>IF(OR(J54&lt;I54,L54&lt;I54),"FAIL","PASS")</f>
        <v/>
      </c>
    </row>
    <row r="55">
      <c r="L55">
        <f>IF(D55="","",J55+K55)</f>
        <v/>
      </c>
      <c r="M55" s="9">
        <f>IFERROR(L55/H55*100,"")</f>
        <v/>
      </c>
      <c r="N55">
        <f>IF(M55="","",IF(M55&gt;=90,"A+",IF(M55&gt;=80,"A",IF(M55&gt;=70,"B+",IF(M55&gt;=60,"B",IF(M55&gt;=50,"C+",IF(M55&gt;=40,"C","F")))))))</f>
        <v/>
      </c>
      <c r="O55">
        <f>IF(OR(J55&lt;I55,L55&lt;I55),"FAIL","PASS")</f>
        <v/>
      </c>
    </row>
    <row r="56">
      <c r="L56">
        <f>IF(D56="","",J56+K56)</f>
        <v/>
      </c>
      <c r="M56" s="9">
        <f>IFERROR(L56/H56*100,"")</f>
        <v/>
      </c>
      <c r="N56">
        <f>IF(M56="","",IF(M56&gt;=90,"A+",IF(M56&gt;=80,"A",IF(M56&gt;=70,"B+",IF(M56&gt;=60,"B",IF(M56&gt;=50,"C+",IF(M56&gt;=40,"C","F")))))))</f>
        <v/>
      </c>
      <c r="O56">
        <f>IF(OR(J56&lt;I56,L56&lt;I56),"FAIL","PASS")</f>
        <v/>
      </c>
    </row>
    <row r="57">
      <c r="L57">
        <f>IF(D57="","",J57+K57)</f>
        <v/>
      </c>
      <c r="M57" s="9">
        <f>IFERROR(L57/H57*100,"")</f>
        <v/>
      </c>
      <c r="N57">
        <f>IF(M57="","",IF(M57&gt;=90,"A+",IF(M57&gt;=80,"A",IF(M57&gt;=70,"B+",IF(M57&gt;=60,"B",IF(M57&gt;=50,"C+",IF(M57&gt;=40,"C","F")))))))</f>
        <v/>
      </c>
      <c r="O57">
        <f>IF(OR(J57&lt;I57,L57&lt;I57),"FAIL","PASS")</f>
        <v/>
      </c>
    </row>
    <row r="58">
      <c r="L58">
        <f>IF(D58="","",J58+K58)</f>
        <v/>
      </c>
      <c r="M58" s="9">
        <f>IFERROR(L58/H58*100,"")</f>
        <v/>
      </c>
      <c r="N58">
        <f>IF(M58="","",IF(M58&gt;=90,"A+",IF(M58&gt;=80,"A",IF(M58&gt;=70,"B+",IF(M58&gt;=60,"B",IF(M58&gt;=50,"C+",IF(M58&gt;=40,"C","F")))))))</f>
        <v/>
      </c>
      <c r="O58">
        <f>IF(OR(J58&lt;I58,L58&lt;I58),"FAIL","PASS")</f>
        <v/>
      </c>
    </row>
    <row r="59">
      <c r="L59">
        <f>IF(D59="","",J59+K59)</f>
        <v/>
      </c>
      <c r="M59" s="9">
        <f>IFERROR(L59/H59*100,"")</f>
        <v/>
      </c>
      <c r="N59">
        <f>IF(M59="","",IF(M59&gt;=90,"A+",IF(M59&gt;=80,"A",IF(M59&gt;=70,"B+",IF(M59&gt;=60,"B",IF(M59&gt;=50,"C+",IF(M59&gt;=40,"C","F")))))))</f>
        <v/>
      </c>
      <c r="O59">
        <f>IF(OR(J59&lt;I59,L59&lt;I59),"FAIL","PASS")</f>
        <v/>
      </c>
    </row>
    <row r="60">
      <c r="L60">
        <f>IF(D60="","",J60+K60)</f>
        <v/>
      </c>
      <c r="M60" s="9">
        <f>IFERROR(L60/H60*100,"")</f>
        <v/>
      </c>
      <c r="N60">
        <f>IF(M60="","",IF(M60&gt;=90,"A+",IF(M60&gt;=80,"A",IF(M60&gt;=70,"B+",IF(M60&gt;=60,"B",IF(M60&gt;=50,"C+",IF(M60&gt;=40,"C","F")))))))</f>
        <v/>
      </c>
      <c r="O60">
        <f>IF(OR(J60&lt;I60,L60&lt;I60),"FAIL","PASS")</f>
        <v/>
      </c>
    </row>
    <row r="61">
      <c r="L61">
        <f>IF(D61="","",J61+K61)</f>
        <v/>
      </c>
      <c r="M61" s="9">
        <f>IFERROR(L61/H61*100,"")</f>
        <v/>
      </c>
      <c r="N61">
        <f>IF(M61="","",IF(M61&gt;=90,"A+",IF(M61&gt;=80,"A",IF(M61&gt;=70,"B+",IF(M61&gt;=60,"B",IF(M61&gt;=50,"C+",IF(M61&gt;=40,"C","F")))))))</f>
        <v/>
      </c>
      <c r="O61">
        <f>IF(OR(J61&lt;I61,L61&lt;I61),"FAIL","PASS")</f>
        <v/>
      </c>
    </row>
    <row r="62">
      <c r="L62">
        <f>IF(D62="","",J62+K62)</f>
        <v/>
      </c>
      <c r="M62" s="9">
        <f>IFERROR(L62/H62*100,"")</f>
        <v/>
      </c>
      <c r="N62">
        <f>IF(M62="","",IF(M62&gt;=90,"A+",IF(M62&gt;=80,"A",IF(M62&gt;=70,"B+",IF(M62&gt;=60,"B",IF(M62&gt;=50,"C+",IF(M62&gt;=40,"C","F")))))))</f>
        <v/>
      </c>
      <c r="O62">
        <f>IF(OR(J62&lt;I62,L62&lt;I62),"FAIL","PASS")</f>
        <v/>
      </c>
    </row>
    <row r="63">
      <c r="L63">
        <f>IF(D63="","",J63+K63)</f>
        <v/>
      </c>
      <c r="M63" s="9">
        <f>IFERROR(L63/H63*100,"")</f>
        <v/>
      </c>
      <c r="N63">
        <f>IF(M63="","",IF(M63&gt;=90,"A+",IF(M63&gt;=80,"A",IF(M63&gt;=70,"B+",IF(M63&gt;=60,"B",IF(M63&gt;=50,"C+",IF(M63&gt;=40,"C","F")))))))</f>
        <v/>
      </c>
      <c r="O63">
        <f>IF(OR(J63&lt;I63,L63&lt;I63),"FAIL","PASS")</f>
        <v/>
      </c>
    </row>
    <row r="64">
      <c r="L64">
        <f>IF(D64="","",J64+K64)</f>
        <v/>
      </c>
      <c r="M64" s="9">
        <f>IFERROR(L64/H64*100,"")</f>
        <v/>
      </c>
      <c r="N64">
        <f>IF(M64="","",IF(M64&gt;=90,"A+",IF(M64&gt;=80,"A",IF(M64&gt;=70,"B+",IF(M64&gt;=60,"B",IF(M64&gt;=50,"C+",IF(M64&gt;=40,"C","F")))))))</f>
        <v/>
      </c>
      <c r="O64">
        <f>IF(OR(J64&lt;I64,L64&lt;I64),"FAIL","PASS")</f>
        <v/>
      </c>
    </row>
    <row r="65">
      <c r="L65">
        <f>IF(D65="","",J65+K65)</f>
        <v/>
      </c>
      <c r="M65" s="9">
        <f>IFERROR(L65/H65*100,"")</f>
        <v/>
      </c>
      <c r="N65">
        <f>IF(M65="","",IF(M65&gt;=90,"A+",IF(M65&gt;=80,"A",IF(M65&gt;=70,"B+",IF(M65&gt;=60,"B",IF(M65&gt;=50,"C+",IF(M65&gt;=40,"C","F")))))))</f>
        <v/>
      </c>
      <c r="O65">
        <f>IF(OR(J65&lt;I65,L65&lt;I65),"FAIL","PASS")</f>
        <v/>
      </c>
    </row>
    <row r="66">
      <c r="L66">
        <f>IF(D66="","",J66+K66)</f>
        <v/>
      </c>
      <c r="M66" s="9">
        <f>IFERROR(L66/H66*100,"")</f>
        <v/>
      </c>
      <c r="N66">
        <f>IF(M66="","",IF(M66&gt;=90,"A+",IF(M66&gt;=80,"A",IF(M66&gt;=70,"B+",IF(M66&gt;=60,"B",IF(M66&gt;=50,"C+",IF(M66&gt;=40,"C","F")))))))</f>
        <v/>
      </c>
      <c r="O66">
        <f>IF(OR(J66&lt;I66,L66&lt;I66),"FAIL","PASS")</f>
        <v/>
      </c>
    </row>
    <row r="67">
      <c r="L67">
        <f>IF(D67="","",J67+K67)</f>
        <v/>
      </c>
      <c r="M67" s="9">
        <f>IFERROR(L67/H67*100,"")</f>
        <v/>
      </c>
      <c r="N67">
        <f>IF(M67="","",IF(M67&gt;=90,"A+",IF(M67&gt;=80,"A",IF(M67&gt;=70,"B+",IF(M67&gt;=60,"B",IF(M67&gt;=50,"C+",IF(M67&gt;=40,"C","F")))))))</f>
        <v/>
      </c>
      <c r="O67">
        <f>IF(OR(J67&lt;I67,L67&lt;I67),"FAIL","PASS")</f>
        <v/>
      </c>
    </row>
    <row r="68">
      <c r="L68">
        <f>IF(D68="","",J68+K68)</f>
        <v/>
      </c>
      <c r="M68" s="9">
        <f>IFERROR(L68/H68*100,"")</f>
        <v/>
      </c>
      <c r="N68">
        <f>IF(M68="","",IF(M68&gt;=90,"A+",IF(M68&gt;=80,"A",IF(M68&gt;=70,"B+",IF(M68&gt;=60,"B",IF(M68&gt;=50,"C+",IF(M68&gt;=40,"C","F")))))))</f>
        <v/>
      </c>
      <c r="O68">
        <f>IF(OR(J68&lt;I68,L68&lt;I68),"FAIL","PASS")</f>
        <v/>
      </c>
    </row>
    <row r="69">
      <c r="L69">
        <f>IF(D69="","",J69+K69)</f>
        <v/>
      </c>
      <c r="M69" s="9">
        <f>IFERROR(L69/H69*100,"")</f>
        <v/>
      </c>
      <c r="N69">
        <f>IF(M69="","",IF(M69&gt;=90,"A+",IF(M69&gt;=80,"A",IF(M69&gt;=70,"B+",IF(M69&gt;=60,"B",IF(M69&gt;=50,"C+",IF(M69&gt;=40,"C","F")))))))</f>
        <v/>
      </c>
      <c r="O69">
        <f>IF(OR(J69&lt;I69,L69&lt;I69),"FAIL","PASS")</f>
        <v/>
      </c>
    </row>
    <row r="70">
      <c r="L70">
        <f>IF(D70="","",J70+K70)</f>
        <v/>
      </c>
      <c r="M70" s="9">
        <f>IFERROR(L70/H70*100,"")</f>
        <v/>
      </c>
      <c r="N70">
        <f>IF(M70="","",IF(M70&gt;=90,"A+",IF(M70&gt;=80,"A",IF(M70&gt;=70,"B+",IF(M70&gt;=60,"B",IF(M70&gt;=50,"C+",IF(M70&gt;=40,"C","F")))))))</f>
        <v/>
      </c>
      <c r="O70">
        <f>IF(OR(J70&lt;I70,L70&lt;I70),"FAIL","PASS")</f>
        <v/>
      </c>
    </row>
    <row r="71">
      <c r="L71">
        <f>IF(D71="","",J71+K71)</f>
        <v/>
      </c>
      <c r="M71" s="9">
        <f>IFERROR(L71/H71*100,"")</f>
        <v/>
      </c>
      <c r="N71">
        <f>IF(M71="","",IF(M71&gt;=90,"A+",IF(M71&gt;=80,"A",IF(M71&gt;=70,"B+",IF(M71&gt;=60,"B",IF(M71&gt;=50,"C+",IF(M71&gt;=40,"C","F")))))))</f>
        <v/>
      </c>
      <c r="O71">
        <f>IF(OR(J71&lt;I71,L71&lt;I71),"FAIL","PASS")</f>
        <v/>
      </c>
    </row>
    <row r="72">
      <c r="L72">
        <f>IF(D72="","",J72+K72)</f>
        <v/>
      </c>
      <c r="M72" s="9">
        <f>IFERROR(L72/H72*100,"")</f>
        <v/>
      </c>
      <c r="N72">
        <f>IF(M72="","",IF(M72&gt;=90,"A+",IF(M72&gt;=80,"A",IF(M72&gt;=70,"B+",IF(M72&gt;=60,"B",IF(M72&gt;=50,"C+",IF(M72&gt;=40,"C","F")))))))</f>
        <v/>
      </c>
      <c r="O72">
        <f>IF(OR(J72&lt;I72,L72&lt;I72),"FAIL","PASS")</f>
        <v/>
      </c>
    </row>
    <row r="73">
      <c r="L73">
        <f>IF(D73="","",J73+K73)</f>
        <v/>
      </c>
      <c r="M73" s="9">
        <f>IFERROR(L73/H73*100,"")</f>
        <v/>
      </c>
      <c r="N73">
        <f>IF(M73="","",IF(M73&gt;=90,"A+",IF(M73&gt;=80,"A",IF(M73&gt;=70,"B+",IF(M73&gt;=60,"B",IF(M73&gt;=50,"C+",IF(M73&gt;=40,"C","F")))))))</f>
        <v/>
      </c>
      <c r="O73">
        <f>IF(OR(J73&lt;I73,L73&lt;I73),"FAIL","PASS")</f>
        <v/>
      </c>
    </row>
    <row r="74">
      <c r="L74">
        <f>IF(D74="","",J74+K74)</f>
        <v/>
      </c>
      <c r="M74" s="9">
        <f>IFERROR(L74/H74*100,"")</f>
        <v/>
      </c>
      <c r="N74">
        <f>IF(M74="","",IF(M74&gt;=90,"A+",IF(M74&gt;=80,"A",IF(M74&gt;=70,"B+",IF(M74&gt;=60,"B",IF(M74&gt;=50,"C+",IF(M74&gt;=40,"C","F")))))))</f>
        <v/>
      </c>
      <c r="O74">
        <f>IF(OR(J74&lt;I74,L74&lt;I74),"FAIL","PASS")</f>
        <v/>
      </c>
    </row>
    <row r="75">
      <c r="L75">
        <f>IF(D75="","",J75+K75)</f>
        <v/>
      </c>
      <c r="M75" s="9">
        <f>IFERROR(L75/H75*100,"")</f>
        <v/>
      </c>
      <c r="N75">
        <f>IF(M75="","",IF(M75&gt;=90,"A+",IF(M75&gt;=80,"A",IF(M75&gt;=70,"B+",IF(M75&gt;=60,"B",IF(M75&gt;=50,"C+",IF(M75&gt;=40,"C","F")))))))</f>
        <v/>
      </c>
      <c r="O75">
        <f>IF(OR(J75&lt;I75,L75&lt;I75),"FAIL","PASS")</f>
        <v/>
      </c>
    </row>
    <row r="76">
      <c r="L76">
        <f>IF(D76="","",J76+K76)</f>
        <v/>
      </c>
      <c r="M76" s="9">
        <f>IFERROR(L76/H76*100,"")</f>
        <v/>
      </c>
      <c r="N76">
        <f>IF(M76="","",IF(M76&gt;=90,"A+",IF(M76&gt;=80,"A",IF(M76&gt;=70,"B+",IF(M76&gt;=60,"B",IF(M76&gt;=50,"C+",IF(M76&gt;=40,"C","F")))))))</f>
        <v/>
      </c>
      <c r="O76">
        <f>IF(OR(J76&lt;I76,L76&lt;I76),"FAIL","PASS")</f>
        <v/>
      </c>
    </row>
    <row r="77">
      <c r="L77">
        <f>IF(D77="","",J77+K77)</f>
        <v/>
      </c>
      <c r="M77" s="9">
        <f>IFERROR(L77/H77*100,"")</f>
        <v/>
      </c>
      <c r="N77">
        <f>IF(M77="","",IF(M77&gt;=90,"A+",IF(M77&gt;=80,"A",IF(M77&gt;=70,"B+",IF(M77&gt;=60,"B",IF(M77&gt;=50,"C+",IF(M77&gt;=40,"C","F")))))))</f>
        <v/>
      </c>
      <c r="O77">
        <f>IF(OR(J77&lt;I77,L77&lt;I77),"FAIL","PASS")</f>
        <v/>
      </c>
    </row>
    <row r="78">
      <c r="L78">
        <f>IF(D78="","",J78+K78)</f>
        <v/>
      </c>
      <c r="M78" s="9">
        <f>IFERROR(L78/H78*100,"")</f>
        <v/>
      </c>
      <c r="N78">
        <f>IF(M78="","",IF(M78&gt;=90,"A+",IF(M78&gt;=80,"A",IF(M78&gt;=70,"B+",IF(M78&gt;=60,"B",IF(M78&gt;=50,"C+",IF(M78&gt;=40,"C","F")))))))</f>
        <v/>
      </c>
      <c r="O78">
        <f>IF(OR(J78&lt;I78,L78&lt;I78),"FAIL","PASS")</f>
        <v/>
      </c>
    </row>
    <row r="79">
      <c r="L79">
        <f>IF(D79="","",J79+K79)</f>
        <v/>
      </c>
      <c r="M79" s="9">
        <f>IFERROR(L79/H79*100,"")</f>
        <v/>
      </c>
      <c r="N79">
        <f>IF(M79="","",IF(M79&gt;=90,"A+",IF(M79&gt;=80,"A",IF(M79&gt;=70,"B+",IF(M79&gt;=60,"B",IF(M79&gt;=50,"C+",IF(M79&gt;=40,"C","F")))))))</f>
        <v/>
      </c>
      <c r="O79">
        <f>IF(OR(J79&lt;I79,L79&lt;I79),"FAIL","PASS")</f>
        <v/>
      </c>
    </row>
    <row r="80">
      <c r="L80">
        <f>IF(D80="","",J80+K80)</f>
        <v/>
      </c>
      <c r="M80" s="9">
        <f>IFERROR(L80/H80*100,"")</f>
        <v/>
      </c>
      <c r="N80">
        <f>IF(M80="","",IF(M80&gt;=90,"A+",IF(M80&gt;=80,"A",IF(M80&gt;=70,"B+",IF(M80&gt;=60,"B",IF(M80&gt;=50,"C+",IF(M80&gt;=40,"C","F")))))))</f>
        <v/>
      </c>
      <c r="O80">
        <f>IF(OR(J80&lt;I80,L80&lt;I80),"FAIL","PASS")</f>
        <v/>
      </c>
    </row>
    <row r="81">
      <c r="L81">
        <f>IF(D81="","",J81+K81)</f>
        <v/>
      </c>
      <c r="M81" s="9">
        <f>IFERROR(L81/H81*100,"")</f>
        <v/>
      </c>
      <c r="N81">
        <f>IF(M81="","",IF(M81&gt;=90,"A+",IF(M81&gt;=80,"A",IF(M81&gt;=70,"B+",IF(M81&gt;=60,"B",IF(M81&gt;=50,"C+",IF(M81&gt;=40,"C","F")))))))</f>
        <v/>
      </c>
      <c r="O81">
        <f>IF(OR(J81&lt;I81,L81&lt;I81),"FAIL","PASS")</f>
        <v/>
      </c>
    </row>
    <row r="82">
      <c r="L82">
        <f>IF(D82="","",J82+K82)</f>
        <v/>
      </c>
      <c r="M82" s="9">
        <f>IFERROR(L82/H82*100,"")</f>
        <v/>
      </c>
      <c r="N82">
        <f>IF(M82="","",IF(M82&gt;=90,"A+",IF(M82&gt;=80,"A",IF(M82&gt;=70,"B+",IF(M82&gt;=60,"B",IF(M82&gt;=50,"C+",IF(M82&gt;=40,"C","F")))))))</f>
        <v/>
      </c>
      <c r="O82">
        <f>IF(OR(J82&lt;I82,L82&lt;I82),"FAIL","PASS")</f>
        <v/>
      </c>
    </row>
    <row r="83">
      <c r="L83">
        <f>IF(D83="","",J83+K83)</f>
        <v/>
      </c>
      <c r="M83" s="9">
        <f>IFERROR(L83/H83*100,"")</f>
        <v/>
      </c>
      <c r="N83">
        <f>IF(M83="","",IF(M83&gt;=90,"A+",IF(M83&gt;=80,"A",IF(M83&gt;=70,"B+",IF(M83&gt;=60,"B",IF(M83&gt;=50,"C+",IF(M83&gt;=40,"C","F")))))))</f>
        <v/>
      </c>
      <c r="O83">
        <f>IF(OR(J83&lt;I83,L83&lt;I83),"FAIL","PASS")</f>
        <v/>
      </c>
    </row>
    <row r="84">
      <c r="L84">
        <f>IF(D84="","",J84+K84)</f>
        <v/>
      </c>
      <c r="M84" s="9">
        <f>IFERROR(L84/H84*100,"")</f>
        <v/>
      </c>
      <c r="N84">
        <f>IF(M84="","",IF(M84&gt;=90,"A+",IF(M84&gt;=80,"A",IF(M84&gt;=70,"B+",IF(M84&gt;=60,"B",IF(M84&gt;=50,"C+",IF(M84&gt;=40,"C","F")))))))</f>
        <v/>
      </c>
      <c r="O84">
        <f>IF(OR(J84&lt;I84,L84&lt;I84),"FAIL","PASS")</f>
        <v/>
      </c>
    </row>
    <row r="85">
      <c r="L85">
        <f>IF(D85="","",J85+K85)</f>
        <v/>
      </c>
      <c r="M85" s="9">
        <f>IFERROR(L85/H85*100,"")</f>
        <v/>
      </c>
      <c r="N85">
        <f>IF(M85="","",IF(M85&gt;=90,"A+",IF(M85&gt;=80,"A",IF(M85&gt;=70,"B+",IF(M85&gt;=60,"B",IF(M85&gt;=50,"C+",IF(M85&gt;=40,"C","F")))))))</f>
        <v/>
      </c>
      <c r="O85">
        <f>IF(OR(J85&lt;I85,L85&lt;I85),"FAIL","PASS")</f>
        <v/>
      </c>
    </row>
    <row r="86">
      <c r="L86">
        <f>IF(D86="","",J86+K86)</f>
        <v/>
      </c>
      <c r="M86" s="9">
        <f>IFERROR(L86/H86*100,"")</f>
        <v/>
      </c>
      <c r="N86">
        <f>IF(M86="","",IF(M86&gt;=90,"A+",IF(M86&gt;=80,"A",IF(M86&gt;=70,"B+",IF(M86&gt;=60,"B",IF(M86&gt;=50,"C+",IF(M86&gt;=40,"C","F")))))))</f>
        <v/>
      </c>
      <c r="O86">
        <f>IF(OR(J86&lt;I86,L86&lt;I86),"FAIL","PASS")</f>
        <v/>
      </c>
    </row>
    <row r="87">
      <c r="L87">
        <f>IF(D87="","",J87+K87)</f>
        <v/>
      </c>
      <c r="M87" s="9">
        <f>IFERROR(L87/H87*100,"")</f>
        <v/>
      </c>
      <c r="N87">
        <f>IF(M87="","",IF(M87&gt;=90,"A+",IF(M87&gt;=80,"A",IF(M87&gt;=70,"B+",IF(M87&gt;=60,"B",IF(M87&gt;=50,"C+",IF(M87&gt;=40,"C","F")))))))</f>
        <v/>
      </c>
      <c r="O87">
        <f>IF(OR(J87&lt;I87,L87&lt;I87),"FAIL","PASS")</f>
        <v/>
      </c>
    </row>
    <row r="88">
      <c r="L88">
        <f>IF(D88="","",J88+K88)</f>
        <v/>
      </c>
      <c r="M88" s="9">
        <f>IFERROR(L88/H88*100,"")</f>
        <v/>
      </c>
      <c r="N88">
        <f>IF(M88="","",IF(M88&gt;=90,"A+",IF(M88&gt;=80,"A",IF(M88&gt;=70,"B+",IF(M88&gt;=60,"B",IF(M88&gt;=50,"C+",IF(M88&gt;=40,"C","F")))))))</f>
        <v/>
      </c>
      <c r="O88">
        <f>IF(OR(J88&lt;I88,L88&lt;I88),"FAIL","PASS")</f>
        <v/>
      </c>
    </row>
    <row r="89">
      <c r="L89">
        <f>IF(D89="","",J89+K89)</f>
        <v/>
      </c>
      <c r="M89" s="9">
        <f>IFERROR(L89/H89*100,"")</f>
        <v/>
      </c>
      <c r="N89">
        <f>IF(M89="","",IF(M89&gt;=90,"A+",IF(M89&gt;=80,"A",IF(M89&gt;=70,"B+",IF(M89&gt;=60,"B",IF(M89&gt;=50,"C+",IF(M89&gt;=40,"C","F")))))))</f>
        <v/>
      </c>
      <c r="O89">
        <f>IF(OR(J89&lt;I89,L89&lt;I89),"FAIL","PASS")</f>
        <v/>
      </c>
    </row>
    <row r="90">
      <c r="L90">
        <f>IF(D90="","",J90+K90)</f>
        <v/>
      </c>
      <c r="M90" s="9">
        <f>IFERROR(L90/H90*100,"")</f>
        <v/>
      </c>
      <c r="N90">
        <f>IF(M90="","",IF(M90&gt;=90,"A+",IF(M90&gt;=80,"A",IF(M90&gt;=70,"B+",IF(M90&gt;=60,"B",IF(M90&gt;=50,"C+",IF(M90&gt;=40,"C","F")))))))</f>
        <v/>
      </c>
      <c r="O90">
        <f>IF(OR(J90&lt;I90,L90&lt;I90),"FAIL","PASS")</f>
        <v/>
      </c>
    </row>
    <row r="91">
      <c r="L91">
        <f>IF(D91="","",J91+K91)</f>
        <v/>
      </c>
      <c r="M91" s="9">
        <f>IFERROR(L91/H91*100,"")</f>
        <v/>
      </c>
      <c r="N91">
        <f>IF(M91="","",IF(M91&gt;=90,"A+",IF(M91&gt;=80,"A",IF(M91&gt;=70,"B+",IF(M91&gt;=60,"B",IF(M91&gt;=50,"C+",IF(M91&gt;=40,"C","F")))))))</f>
        <v/>
      </c>
      <c r="O91">
        <f>IF(OR(J91&lt;I91,L91&lt;I91),"FAIL","PASS")</f>
        <v/>
      </c>
    </row>
    <row r="92">
      <c r="L92">
        <f>IF(D92="","",J92+K92)</f>
        <v/>
      </c>
      <c r="M92" s="9">
        <f>IFERROR(L92/H92*100,"")</f>
        <v/>
      </c>
      <c r="N92">
        <f>IF(M92="","",IF(M92&gt;=90,"A+",IF(M92&gt;=80,"A",IF(M92&gt;=70,"B+",IF(M92&gt;=60,"B",IF(M92&gt;=50,"C+",IF(M92&gt;=40,"C","F")))))))</f>
        <v/>
      </c>
      <c r="O92">
        <f>IF(OR(J92&lt;I92,L92&lt;I92),"FAIL","PASS")</f>
        <v/>
      </c>
    </row>
    <row r="93">
      <c r="L93">
        <f>IF(D93="","",J93+K93)</f>
        <v/>
      </c>
      <c r="M93" s="9">
        <f>IFERROR(L93/H93*100,"")</f>
        <v/>
      </c>
      <c r="N93">
        <f>IF(M93="","",IF(M93&gt;=90,"A+",IF(M93&gt;=80,"A",IF(M93&gt;=70,"B+",IF(M93&gt;=60,"B",IF(M93&gt;=50,"C+",IF(M93&gt;=40,"C","F")))))))</f>
        <v/>
      </c>
      <c r="O93">
        <f>IF(OR(J93&lt;I93,L93&lt;I93),"FAIL","PASS")</f>
        <v/>
      </c>
    </row>
    <row r="94">
      <c r="L94">
        <f>IF(D94="","",J94+K94)</f>
        <v/>
      </c>
      <c r="M94" s="9">
        <f>IFERROR(L94/H94*100,"")</f>
        <v/>
      </c>
      <c r="N94">
        <f>IF(M94="","",IF(M94&gt;=90,"A+",IF(M94&gt;=80,"A",IF(M94&gt;=70,"B+",IF(M94&gt;=60,"B",IF(M94&gt;=50,"C+",IF(M94&gt;=40,"C","F")))))))</f>
        <v/>
      </c>
      <c r="O94">
        <f>IF(OR(J94&lt;I94,L94&lt;I94),"FAIL","PASS")</f>
        <v/>
      </c>
    </row>
    <row r="95">
      <c r="L95">
        <f>IF(D95="","",J95+K95)</f>
        <v/>
      </c>
      <c r="M95" s="9">
        <f>IFERROR(L95/H95*100,"")</f>
        <v/>
      </c>
      <c r="N95">
        <f>IF(M95="","",IF(M95&gt;=90,"A+",IF(M95&gt;=80,"A",IF(M95&gt;=70,"B+",IF(M95&gt;=60,"B",IF(M95&gt;=50,"C+",IF(M95&gt;=40,"C","F")))))))</f>
        <v/>
      </c>
      <c r="O95">
        <f>IF(OR(J95&lt;I95,L95&lt;I95),"FAIL","PASS")</f>
        <v/>
      </c>
    </row>
    <row r="96">
      <c r="L96">
        <f>IF(D96="","",J96+K96)</f>
        <v/>
      </c>
      <c r="M96" s="9">
        <f>IFERROR(L96/H96*100,"")</f>
        <v/>
      </c>
      <c r="N96">
        <f>IF(M96="","",IF(M96&gt;=90,"A+",IF(M96&gt;=80,"A",IF(M96&gt;=70,"B+",IF(M96&gt;=60,"B",IF(M96&gt;=50,"C+",IF(M96&gt;=40,"C","F")))))))</f>
        <v/>
      </c>
      <c r="O96">
        <f>IF(OR(J96&lt;I96,L96&lt;I96),"FAIL","PASS")</f>
        <v/>
      </c>
    </row>
    <row r="97">
      <c r="L97">
        <f>IF(D97="","",J97+K97)</f>
        <v/>
      </c>
      <c r="M97" s="9">
        <f>IFERROR(L97/H97*100,"")</f>
        <v/>
      </c>
      <c r="N97">
        <f>IF(M97="","",IF(M97&gt;=90,"A+",IF(M97&gt;=80,"A",IF(M97&gt;=70,"B+",IF(M97&gt;=60,"B",IF(M97&gt;=50,"C+",IF(M97&gt;=40,"C","F")))))))</f>
        <v/>
      </c>
      <c r="O97">
        <f>IF(OR(J97&lt;I97,L97&lt;I97),"FAIL","PASS")</f>
        <v/>
      </c>
    </row>
    <row r="98">
      <c r="L98">
        <f>IF(D98="","",J98+K98)</f>
        <v/>
      </c>
      <c r="M98" s="9">
        <f>IFERROR(L98/H98*100,"")</f>
        <v/>
      </c>
      <c r="N98">
        <f>IF(M98="","",IF(M98&gt;=90,"A+",IF(M98&gt;=80,"A",IF(M98&gt;=70,"B+",IF(M98&gt;=60,"B",IF(M98&gt;=50,"C+",IF(M98&gt;=40,"C","F")))))))</f>
        <v/>
      </c>
      <c r="O98">
        <f>IF(OR(J98&lt;I98,L98&lt;I98),"FAIL","PASS")</f>
        <v/>
      </c>
    </row>
    <row r="99">
      <c r="L99">
        <f>IF(D99="","",J99+K99)</f>
        <v/>
      </c>
      <c r="M99" s="9">
        <f>IFERROR(L99/H99*100,"")</f>
        <v/>
      </c>
      <c r="N99">
        <f>IF(M99="","",IF(M99&gt;=90,"A+",IF(M99&gt;=80,"A",IF(M99&gt;=70,"B+",IF(M99&gt;=60,"B",IF(M99&gt;=50,"C+",IF(M99&gt;=40,"C","F")))))))</f>
        <v/>
      </c>
      <c r="O99">
        <f>IF(OR(J99&lt;I99,L99&lt;I99),"FAIL","PASS")</f>
        <v/>
      </c>
    </row>
    <row r="100">
      <c r="L100">
        <f>IF(D100="","",J100+K100)</f>
        <v/>
      </c>
      <c r="M100" s="9">
        <f>IFERROR(L100/H100*100,"")</f>
        <v/>
      </c>
      <c r="N100">
        <f>IF(M100="","",IF(M100&gt;=90,"A+",IF(M100&gt;=80,"A",IF(M100&gt;=70,"B+",IF(M100&gt;=60,"B",IF(M100&gt;=50,"C+",IF(M100&gt;=40,"C","F")))))))</f>
        <v/>
      </c>
      <c r="O100">
        <f>IF(OR(J100&lt;I100,L100&lt;I100),"FAIL","PASS")</f>
        <v/>
      </c>
    </row>
    <row r="101">
      <c r="L101">
        <f>IF(D101="","",J101+K101)</f>
        <v/>
      </c>
      <c r="M101" s="9">
        <f>IFERROR(L101/H101*100,"")</f>
        <v/>
      </c>
      <c r="N101">
        <f>IF(M101="","",IF(M101&gt;=90,"A+",IF(M101&gt;=80,"A",IF(M101&gt;=70,"B+",IF(M101&gt;=60,"B",IF(M101&gt;=50,"C+",IF(M101&gt;=40,"C","F")))))))</f>
        <v/>
      </c>
      <c r="O101">
        <f>IF(OR(J101&lt;I101,L101&lt;I101),"FAIL","PASS")</f>
        <v/>
      </c>
    </row>
    <row r="102">
      <c r="L102">
        <f>IF(D102="","",J102+K102)</f>
        <v/>
      </c>
      <c r="M102" s="9">
        <f>IFERROR(L102/H102*100,"")</f>
        <v/>
      </c>
      <c r="N102">
        <f>IF(M102="","",IF(M102&gt;=90,"A+",IF(M102&gt;=80,"A",IF(M102&gt;=70,"B+",IF(M102&gt;=60,"B",IF(M102&gt;=50,"C+",IF(M102&gt;=40,"C","F")))))))</f>
        <v/>
      </c>
      <c r="O102">
        <f>IF(OR(J102&lt;I102,L102&lt;I102),"FAIL","PASS")</f>
        <v/>
      </c>
    </row>
    <row r="103">
      <c r="L103">
        <f>IF(D103="","",J103+K103)</f>
        <v/>
      </c>
      <c r="M103" s="9">
        <f>IFERROR(L103/H103*100,"")</f>
        <v/>
      </c>
      <c r="N103">
        <f>IF(M103="","",IF(M103&gt;=90,"A+",IF(M103&gt;=80,"A",IF(M103&gt;=70,"B+",IF(M103&gt;=60,"B",IF(M103&gt;=50,"C+",IF(M103&gt;=40,"C","F")))))))</f>
        <v/>
      </c>
      <c r="O103">
        <f>IF(OR(J103&lt;I103,L103&lt;I103),"FAIL","PASS")</f>
        <v/>
      </c>
    </row>
    <row r="104">
      <c r="L104">
        <f>IF(D104="","",J104+K104)</f>
        <v/>
      </c>
      <c r="M104" s="9">
        <f>IFERROR(L104/H104*100,"")</f>
        <v/>
      </c>
      <c r="N104">
        <f>IF(M104="","",IF(M104&gt;=90,"A+",IF(M104&gt;=80,"A",IF(M104&gt;=70,"B+",IF(M104&gt;=60,"B",IF(M104&gt;=50,"C+",IF(M104&gt;=40,"C","F")))))))</f>
        <v/>
      </c>
      <c r="O104">
        <f>IF(OR(J104&lt;I104,L104&lt;I104),"FAIL","PASS")</f>
        <v/>
      </c>
    </row>
    <row r="105">
      <c r="L105">
        <f>IF(D105="","",J105+K105)</f>
        <v/>
      </c>
      <c r="M105" s="9">
        <f>IFERROR(L105/H105*100,"")</f>
        <v/>
      </c>
      <c r="N105">
        <f>IF(M105="","",IF(M105&gt;=90,"A+",IF(M105&gt;=80,"A",IF(M105&gt;=70,"B+",IF(M105&gt;=60,"B",IF(M105&gt;=50,"C+",IF(M105&gt;=40,"C","F")))))))</f>
        <v/>
      </c>
      <c r="O105">
        <f>IF(OR(J105&lt;I105,L105&lt;I105),"FAIL","PASS")</f>
        <v/>
      </c>
    </row>
    <row r="106">
      <c r="L106">
        <f>IF(D106="","",J106+K106)</f>
        <v/>
      </c>
      <c r="M106" s="9">
        <f>IFERROR(L106/H106*100,"")</f>
        <v/>
      </c>
      <c r="N106">
        <f>IF(M106="","",IF(M106&gt;=90,"A+",IF(M106&gt;=80,"A",IF(M106&gt;=70,"B+",IF(M106&gt;=60,"B",IF(M106&gt;=50,"C+",IF(M106&gt;=40,"C","F")))))))</f>
        <v/>
      </c>
      <c r="O106">
        <f>IF(OR(J106&lt;I106,L106&lt;I106),"FAIL","PASS")</f>
        <v/>
      </c>
    </row>
    <row r="107">
      <c r="L107">
        <f>IF(D107="","",J107+K107)</f>
        <v/>
      </c>
      <c r="M107" s="9">
        <f>IFERROR(L107/H107*100,"")</f>
        <v/>
      </c>
      <c r="N107">
        <f>IF(M107="","",IF(M107&gt;=90,"A+",IF(M107&gt;=80,"A",IF(M107&gt;=70,"B+",IF(M107&gt;=60,"B",IF(M107&gt;=50,"C+",IF(M107&gt;=40,"C","F")))))))</f>
        <v/>
      </c>
      <c r="O107">
        <f>IF(OR(J107&lt;I107,L107&lt;I107),"FAIL","PASS")</f>
        <v/>
      </c>
    </row>
    <row r="108">
      <c r="L108">
        <f>IF(D108="","",J108+K108)</f>
        <v/>
      </c>
      <c r="M108" s="9">
        <f>IFERROR(L108/H108*100,"")</f>
        <v/>
      </c>
      <c r="N108">
        <f>IF(M108="","",IF(M108&gt;=90,"A+",IF(M108&gt;=80,"A",IF(M108&gt;=70,"B+",IF(M108&gt;=60,"B",IF(M108&gt;=50,"C+",IF(M108&gt;=40,"C","F")))))))</f>
        <v/>
      </c>
      <c r="O108">
        <f>IF(OR(J108&lt;I108,L108&lt;I108),"FAIL","PASS")</f>
        <v/>
      </c>
    </row>
    <row r="109">
      <c r="L109">
        <f>IF(D109="","",J109+K109)</f>
        <v/>
      </c>
      <c r="M109" s="9">
        <f>IFERROR(L109/H109*100,"")</f>
        <v/>
      </c>
      <c r="N109">
        <f>IF(M109="","",IF(M109&gt;=90,"A+",IF(M109&gt;=80,"A",IF(M109&gt;=70,"B+",IF(M109&gt;=60,"B",IF(M109&gt;=50,"C+",IF(M109&gt;=40,"C","F")))))))</f>
        <v/>
      </c>
      <c r="O109">
        <f>IF(OR(J109&lt;I109,L109&lt;I109),"FAIL","PASS")</f>
        <v/>
      </c>
    </row>
    <row r="110">
      <c r="L110">
        <f>IF(D110="","",J110+K110)</f>
        <v/>
      </c>
      <c r="M110" s="9">
        <f>IFERROR(L110/H110*100,"")</f>
        <v/>
      </c>
      <c r="N110">
        <f>IF(M110="","",IF(M110&gt;=90,"A+",IF(M110&gt;=80,"A",IF(M110&gt;=70,"B+",IF(M110&gt;=60,"B",IF(M110&gt;=50,"C+",IF(M110&gt;=40,"C","F")))))))</f>
        <v/>
      </c>
      <c r="O110">
        <f>IF(OR(J110&lt;I110,L110&lt;I110),"FAIL","PASS")</f>
        <v/>
      </c>
    </row>
    <row r="111">
      <c r="L111">
        <f>IF(D111="","",J111+K111)</f>
        <v/>
      </c>
      <c r="M111" s="9">
        <f>IFERROR(L111/H111*100,"")</f>
        <v/>
      </c>
      <c r="N111">
        <f>IF(M111="","",IF(M111&gt;=90,"A+",IF(M111&gt;=80,"A",IF(M111&gt;=70,"B+",IF(M111&gt;=60,"B",IF(M111&gt;=50,"C+",IF(M111&gt;=40,"C","F")))))))</f>
        <v/>
      </c>
      <c r="O111">
        <f>IF(OR(J111&lt;I111,L111&lt;I111),"FAIL","PASS")</f>
        <v/>
      </c>
    </row>
    <row r="112">
      <c r="L112">
        <f>IF(D112="","",J112+K112)</f>
        <v/>
      </c>
      <c r="M112" s="9">
        <f>IFERROR(L112/H112*100,"")</f>
        <v/>
      </c>
      <c r="N112">
        <f>IF(M112="","",IF(M112&gt;=90,"A+",IF(M112&gt;=80,"A",IF(M112&gt;=70,"B+",IF(M112&gt;=60,"B",IF(M112&gt;=50,"C+",IF(M112&gt;=40,"C","F")))))))</f>
        <v/>
      </c>
      <c r="O112">
        <f>IF(OR(J112&lt;I112,L112&lt;I112),"FAIL","PASS")</f>
        <v/>
      </c>
    </row>
    <row r="113">
      <c r="L113">
        <f>IF(D113="","",J113+K113)</f>
        <v/>
      </c>
      <c r="M113" s="9">
        <f>IFERROR(L113/H113*100,"")</f>
        <v/>
      </c>
      <c r="N113">
        <f>IF(M113="","",IF(M113&gt;=90,"A+",IF(M113&gt;=80,"A",IF(M113&gt;=70,"B+",IF(M113&gt;=60,"B",IF(M113&gt;=50,"C+",IF(M113&gt;=40,"C","F")))))))</f>
        <v/>
      </c>
      <c r="O113">
        <f>IF(OR(J113&lt;I113,L113&lt;I113),"FAIL","PASS")</f>
        <v/>
      </c>
    </row>
    <row r="114">
      <c r="L114">
        <f>IF(D114="","",J114+K114)</f>
        <v/>
      </c>
      <c r="M114" s="9">
        <f>IFERROR(L114/H114*100,"")</f>
        <v/>
      </c>
      <c r="N114">
        <f>IF(M114="","",IF(M114&gt;=90,"A+",IF(M114&gt;=80,"A",IF(M114&gt;=70,"B+",IF(M114&gt;=60,"B",IF(M114&gt;=50,"C+",IF(M114&gt;=40,"C","F")))))))</f>
        <v/>
      </c>
      <c r="O114">
        <f>IF(OR(J114&lt;I114,L114&lt;I114),"FAIL","PASS")</f>
        <v/>
      </c>
    </row>
    <row r="115">
      <c r="L115">
        <f>IF(D115="","",J115+K115)</f>
        <v/>
      </c>
      <c r="M115" s="9">
        <f>IFERROR(L115/H115*100,"")</f>
        <v/>
      </c>
      <c r="N115">
        <f>IF(M115="","",IF(M115&gt;=90,"A+",IF(M115&gt;=80,"A",IF(M115&gt;=70,"B+",IF(M115&gt;=60,"B",IF(M115&gt;=50,"C+",IF(M115&gt;=40,"C","F")))))))</f>
        <v/>
      </c>
      <c r="O115">
        <f>IF(OR(J115&lt;I115,L115&lt;I115),"FAIL","PASS")</f>
        <v/>
      </c>
    </row>
    <row r="116">
      <c r="L116">
        <f>IF(D116="","",J116+K116)</f>
        <v/>
      </c>
      <c r="M116" s="9">
        <f>IFERROR(L116/H116*100,"")</f>
        <v/>
      </c>
      <c r="N116">
        <f>IF(M116="","",IF(M116&gt;=90,"A+",IF(M116&gt;=80,"A",IF(M116&gt;=70,"B+",IF(M116&gt;=60,"B",IF(M116&gt;=50,"C+",IF(M116&gt;=40,"C","F")))))))</f>
        <v/>
      </c>
      <c r="O116">
        <f>IF(OR(J116&lt;I116,L116&lt;I116),"FAIL","PASS")</f>
        <v/>
      </c>
    </row>
    <row r="117">
      <c r="L117">
        <f>IF(D117="","",J117+K117)</f>
        <v/>
      </c>
      <c r="M117" s="9">
        <f>IFERROR(L117/H117*100,"")</f>
        <v/>
      </c>
      <c r="N117">
        <f>IF(M117="","",IF(M117&gt;=90,"A+",IF(M117&gt;=80,"A",IF(M117&gt;=70,"B+",IF(M117&gt;=60,"B",IF(M117&gt;=50,"C+",IF(M117&gt;=40,"C","F")))))))</f>
        <v/>
      </c>
      <c r="O117">
        <f>IF(OR(J117&lt;I117,L117&lt;I117),"FAIL","PASS")</f>
        <v/>
      </c>
    </row>
    <row r="118">
      <c r="L118">
        <f>IF(D118="","",J118+K118)</f>
        <v/>
      </c>
      <c r="M118" s="9">
        <f>IFERROR(L118/H118*100,"")</f>
        <v/>
      </c>
      <c r="N118">
        <f>IF(M118="","",IF(M118&gt;=90,"A+",IF(M118&gt;=80,"A",IF(M118&gt;=70,"B+",IF(M118&gt;=60,"B",IF(M118&gt;=50,"C+",IF(M118&gt;=40,"C","F")))))))</f>
        <v/>
      </c>
      <c r="O118">
        <f>IF(OR(J118&lt;I118,L118&lt;I118),"FAIL","PASS")</f>
        <v/>
      </c>
    </row>
    <row r="119">
      <c r="L119">
        <f>IF(D119="","",J119+K119)</f>
        <v/>
      </c>
      <c r="M119" s="9">
        <f>IFERROR(L119/H119*100,"")</f>
        <v/>
      </c>
      <c r="N119">
        <f>IF(M119="","",IF(M119&gt;=90,"A+",IF(M119&gt;=80,"A",IF(M119&gt;=70,"B+",IF(M119&gt;=60,"B",IF(M119&gt;=50,"C+",IF(M119&gt;=40,"C","F")))))))</f>
        <v/>
      </c>
      <c r="O119">
        <f>IF(OR(J119&lt;I119,L119&lt;I119),"FAIL","PASS")</f>
        <v/>
      </c>
    </row>
    <row r="120">
      <c r="L120">
        <f>IF(D120="","",J120+K120)</f>
        <v/>
      </c>
      <c r="M120" s="9">
        <f>IFERROR(L120/H120*100,"")</f>
        <v/>
      </c>
      <c r="N120">
        <f>IF(M120="","",IF(M120&gt;=90,"A+",IF(M120&gt;=80,"A",IF(M120&gt;=70,"B+",IF(M120&gt;=60,"B",IF(M120&gt;=50,"C+",IF(M120&gt;=40,"C","F")))))))</f>
        <v/>
      </c>
      <c r="O120">
        <f>IF(OR(J120&lt;I120,L120&lt;I120),"FAIL","PASS")</f>
        <v/>
      </c>
    </row>
    <row r="121">
      <c r="L121">
        <f>IF(D121="","",J121+K121)</f>
        <v/>
      </c>
      <c r="M121" s="9">
        <f>IFERROR(L121/H121*100,"")</f>
        <v/>
      </c>
      <c r="N121">
        <f>IF(M121="","",IF(M121&gt;=90,"A+",IF(M121&gt;=80,"A",IF(M121&gt;=70,"B+",IF(M121&gt;=60,"B",IF(M121&gt;=50,"C+",IF(M121&gt;=40,"C","F")))))))</f>
        <v/>
      </c>
      <c r="O121">
        <f>IF(OR(J121&lt;I121,L121&lt;I121),"FAIL","PASS")</f>
        <v/>
      </c>
    </row>
    <row r="122">
      <c r="L122">
        <f>IF(D122="","",J122+K122)</f>
        <v/>
      </c>
      <c r="M122" s="9">
        <f>IFERROR(L122/H122*100,"")</f>
        <v/>
      </c>
      <c r="N122">
        <f>IF(M122="","",IF(M122&gt;=90,"A+",IF(M122&gt;=80,"A",IF(M122&gt;=70,"B+",IF(M122&gt;=60,"B",IF(M122&gt;=50,"C+",IF(M122&gt;=40,"C","F")))))))</f>
        <v/>
      </c>
      <c r="O122">
        <f>IF(OR(J122&lt;I122,L122&lt;I122),"FAIL","PASS")</f>
        <v/>
      </c>
    </row>
    <row r="123">
      <c r="L123">
        <f>IF(D123="","",J123+K123)</f>
        <v/>
      </c>
      <c r="M123" s="9">
        <f>IFERROR(L123/H123*100,"")</f>
        <v/>
      </c>
      <c r="N123">
        <f>IF(M123="","",IF(M123&gt;=90,"A+",IF(M123&gt;=80,"A",IF(M123&gt;=70,"B+",IF(M123&gt;=60,"B",IF(M123&gt;=50,"C+",IF(M123&gt;=40,"C","F")))))))</f>
        <v/>
      </c>
      <c r="O123">
        <f>IF(OR(J123&lt;I123,L123&lt;I123),"FAIL","PASS")</f>
        <v/>
      </c>
    </row>
    <row r="124">
      <c r="L124">
        <f>IF(D124="","",J124+K124)</f>
        <v/>
      </c>
      <c r="M124" s="9">
        <f>IFERROR(L124/H124*100,"")</f>
        <v/>
      </c>
      <c r="N124">
        <f>IF(M124="","",IF(M124&gt;=90,"A+",IF(M124&gt;=80,"A",IF(M124&gt;=70,"B+",IF(M124&gt;=60,"B",IF(M124&gt;=50,"C+",IF(M124&gt;=40,"C","F")))))))</f>
        <v/>
      </c>
      <c r="O124">
        <f>IF(OR(J124&lt;I124,L124&lt;I124),"FAIL","PASS")</f>
        <v/>
      </c>
    </row>
    <row r="125">
      <c r="L125">
        <f>IF(D125="","",J125+K125)</f>
        <v/>
      </c>
      <c r="M125" s="9">
        <f>IFERROR(L125/H125*100,"")</f>
        <v/>
      </c>
      <c r="N125">
        <f>IF(M125="","",IF(M125&gt;=90,"A+",IF(M125&gt;=80,"A",IF(M125&gt;=70,"B+",IF(M125&gt;=60,"B",IF(M125&gt;=50,"C+",IF(M125&gt;=40,"C","F")))))))</f>
        <v/>
      </c>
      <c r="O125">
        <f>IF(OR(J125&lt;I125,L125&lt;I125),"FAIL","PASS")</f>
        <v/>
      </c>
    </row>
    <row r="126">
      <c r="L126">
        <f>IF(D126="","",J126+K126)</f>
        <v/>
      </c>
      <c r="M126" s="9">
        <f>IFERROR(L126/H126*100,"")</f>
        <v/>
      </c>
      <c r="N126">
        <f>IF(M126="","",IF(M126&gt;=90,"A+",IF(M126&gt;=80,"A",IF(M126&gt;=70,"B+",IF(M126&gt;=60,"B",IF(M126&gt;=50,"C+",IF(M126&gt;=40,"C","F")))))))</f>
        <v/>
      </c>
      <c r="O126">
        <f>IF(OR(J126&lt;I126,L126&lt;I126),"FAIL","PASS")</f>
        <v/>
      </c>
    </row>
    <row r="127">
      <c r="L127">
        <f>IF(D127="","",J127+K127)</f>
        <v/>
      </c>
      <c r="M127" s="9">
        <f>IFERROR(L127/H127*100,"")</f>
        <v/>
      </c>
      <c r="N127">
        <f>IF(M127="","",IF(M127&gt;=90,"A+",IF(M127&gt;=80,"A",IF(M127&gt;=70,"B+",IF(M127&gt;=60,"B",IF(M127&gt;=50,"C+",IF(M127&gt;=40,"C","F")))))))</f>
        <v/>
      </c>
      <c r="O127">
        <f>IF(OR(J127&lt;I127,L127&lt;I127),"FAIL","PASS")</f>
        <v/>
      </c>
    </row>
    <row r="128">
      <c r="L128">
        <f>IF(D128="","",J128+K128)</f>
        <v/>
      </c>
      <c r="M128" s="9">
        <f>IFERROR(L128/H128*100,"")</f>
        <v/>
      </c>
      <c r="N128">
        <f>IF(M128="","",IF(M128&gt;=90,"A+",IF(M128&gt;=80,"A",IF(M128&gt;=70,"B+",IF(M128&gt;=60,"B",IF(M128&gt;=50,"C+",IF(M128&gt;=40,"C","F")))))))</f>
        <v/>
      </c>
      <c r="O128">
        <f>IF(OR(J128&lt;I128,L128&lt;I128),"FAIL","PASS")</f>
        <v/>
      </c>
    </row>
    <row r="129">
      <c r="L129">
        <f>IF(D129="","",J129+K129)</f>
        <v/>
      </c>
      <c r="M129" s="9">
        <f>IFERROR(L129/H129*100,"")</f>
        <v/>
      </c>
      <c r="N129">
        <f>IF(M129="","",IF(M129&gt;=90,"A+",IF(M129&gt;=80,"A",IF(M129&gt;=70,"B+",IF(M129&gt;=60,"B",IF(M129&gt;=50,"C+",IF(M129&gt;=40,"C","F")))))))</f>
        <v/>
      </c>
      <c r="O129">
        <f>IF(OR(J129&lt;I129,L129&lt;I129),"FAIL","PASS")</f>
        <v/>
      </c>
    </row>
    <row r="130">
      <c r="L130">
        <f>IF(D130="","",J130+K130)</f>
        <v/>
      </c>
      <c r="M130" s="9">
        <f>IFERROR(L130/H130*100,"")</f>
        <v/>
      </c>
      <c r="N130">
        <f>IF(M130="","",IF(M130&gt;=90,"A+",IF(M130&gt;=80,"A",IF(M130&gt;=70,"B+",IF(M130&gt;=60,"B",IF(M130&gt;=50,"C+",IF(M130&gt;=40,"C","F")))))))</f>
        <v/>
      </c>
      <c r="O130">
        <f>IF(OR(J130&lt;I130,L130&lt;I130),"FAIL","PASS")</f>
        <v/>
      </c>
    </row>
    <row r="131">
      <c r="L131">
        <f>IF(D131="","",J131+K131)</f>
        <v/>
      </c>
      <c r="M131" s="9">
        <f>IFERROR(L131/H131*100,"")</f>
        <v/>
      </c>
      <c r="N131">
        <f>IF(M131="","",IF(M131&gt;=90,"A+",IF(M131&gt;=80,"A",IF(M131&gt;=70,"B+",IF(M131&gt;=60,"B",IF(M131&gt;=50,"C+",IF(M131&gt;=40,"C","F")))))))</f>
        <v/>
      </c>
      <c r="O131">
        <f>IF(OR(J131&lt;I131,L131&lt;I131),"FAIL","PASS")</f>
        <v/>
      </c>
    </row>
    <row r="132">
      <c r="L132">
        <f>IF(D132="","",J132+K132)</f>
        <v/>
      </c>
      <c r="M132" s="9">
        <f>IFERROR(L132/H132*100,"")</f>
        <v/>
      </c>
      <c r="N132">
        <f>IF(M132="","",IF(M132&gt;=90,"A+",IF(M132&gt;=80,"A",IF(M132&gt;=70,"B+",IF(M132&gt;=60,"B",IF(M132&gt;=50,"C+",IF(M132&gt;=40,"C","F")))))))</f>
        <v/>
      </c>
      <c r="O132">
        <f>IF(OR(J132&lt;I132,L132&lt;I132),"FAIL","PASS")</f>
        <v/>
      </c>
    </row>
    <row r="133">
      <c r="L133">
        <f>IF(D133="","",J133+K133)</f>
        <v/>
      </c>
      <c r="M133" s="9">
        <f>IFERROR(L133/H133*100,"")</f>
        <v/>
      </c>
      <c r="N133">
        <f>IF(M133="","",IF(M133&gt;=90,"A+",IF(M133&gt;=80,"A",IF(M133&gt;=70,"B+",IF(M133&gt;=60,"B",IF(M133&gt;=50,"C+",IF(M133&gt;=40,"C","F")))))))</f>
        <v/>
      </c>
      <c r="O133">
        <f>IF(OR(J133&lt;I133,L133&lt;I133),"FAIL","PASS")</f>
        <v/>
      </c>
    </row>
    <row r="134">
      <c r="L134">
        <f>IF(D134="","",J134+K134)</f>
        <v/>
      </c>
      <c r="M134" s="9">
        <f>IFERROR(L134/H134*100,"")</f>
        <v/>
      </c>
      <c r="N134">
        <f>IF(M134="","",IF(M134&gt;=90,"A+",IF(M134&gt;=80,"A",IF(M134&gt;=70,"B+",IF(M134&gt;=60,"B",IF(M134&gt;=50,"C+",IF(M134&gt;=40,"C","F")))))))</f>
        <v/>
      </c>
      <c r="O134">
        <f>IF(OR(J134&lt;I134,L134&lt;I134),"FAIL","PASS")</f>
        <v/>
      </c>
    </row>
    <row r="135">
      <c r="L135">
        <f>IF(D135="","",J135+K135)</f>
        <v/>
      </c>
      <c r="M135" s="9">
        <f>IFERROR(L135/H135*100,"")</f>
        <v/>
      </c>
      <c r="N135">
        <f>IF(M135="","",IF(M135&gt;=90,"A+",IF(M135&gt;=80,"A",IF(M135&gt;=70,"B+",IF(M135&gt;=60,"B",IF(M135&gt;=50,"C+",IF(M135&gt;=40,"C","F")))))))</f>
        <v/>
      </c>
      <c r="O135">
        <f>IF(OR(J135&lt;I135,L135&lt;I135),"FAIL","PASS")</f>
        <v/>
      </c>
    </row>
    <row r="136">
      <c r="L136">
        <f>IF(D136="","",J136+K136)</f>
        <v/>
      </c>
      <c r="M136" s="9">
        <f>IFERROR(L136/H136*100,"")</f>
        <v/>
      </c>
      <c r="N136">
        <f>IF(M136="","",IF(M136&gt;=90,"A+",IF(M136&gt;=80,"A",IF(M136&gt;=70,"B+",IF(M136&gt;=60,"B",IF(M136&gt;=50,"C+",IF(M136&gt;=40,"C","F")))))))</f>
        <v/>
      </c>
      <c r="O136">
        <f>IF(OR(J136&lt;I136,L136&lt;I136),"FAIL","PASS")</f>
        <v/>
      </c>
    </row>
    <row r="137">
      <c r="L137">
        <f>IF(D137="","",J137+K137)</f>
        <v/>
      </c>
      <c r="M137" s="9">
        <f>IFERROR(L137/H137*100,"")</f>
        <v/>
      </c>
      <c r="N137">
        <f>IF(M137="","",IF(M137&gt;=90,"A+",IF(M137&gt;=80,"A",IF(M137&gt;=70,"B+",IF(M137&gt;=60,"B",IF(M137&gt;=50,"C+",IF(M137&gt;=40,"C","F")))))))</f>
        <v/>
      </c>
      <c r="O137">
        <f>IF(OR(J137&lt;I137,L137&lt;I137),"FAIL","PASS")</f>
        <v/>
      </c>
    </row>
    <row r="138">
      <c r="L138">
        <f>IF(D138="","",J138+K138)</f>
        <v/>
      </c>
      <c r="M138" s="9">
        <f>IFERROR(L138/H138*100,"")</f>
        <v/>
      </c>
      <c r="N138">
        <f>IF(M138="","",IF(M138&gt;=90,"A+",IF(M138&gt;=80,"A",IF(M138&gt;=70,"B+",IF(M138&gt;=60,"B",IF(M138&gt;=50,"C+",IF(M138&gt;=40,"C","F")))))))</f>
        <v/>
      </c>
      <c r="O138">
        <f>IF(OR(J138&lt;I138,L138&lt;I138),"FAIL","PASS")</f>
        <v/>
      </c>
    </row>
    <row r="139">
      <c r="L139">
        <f>IF(D139="","",J139+K139)</f>
        <v/>
      </c>
      <c r="M139" s="9">
        <f>IFERROR(L139/H139*100,"")</f>
        <v/>
      </c>
      <c r="N139">
        <f>IF(M139="","",IF(M139&gt;=90,"A+",IF(M139&gt;=80,"A",IF(M139&gt;=70,"B+",IF(M139&gt;=60,"B",IF(M139&gt;=50,"C+",IF(M139&gt;=40,"C","F")))))))</f>
        <v/>
      </c>
      <c r="O139">
        <f>IF(OR(J139&lt;I139,L139&lt;I139),"FAIL","PASS")</f>
        <v/>
      </c>
    </row>
    <row r="140">
      <c r="L140">
        <f>IF(D140="","",J140+K140)</f>
        <v/>
      </c>
      <c r="M140" s="9">
        <f>IFERROR(L140/H140*100,"")</f>
        <v/>
      </c>
      <c r="N140">
        <f>IF(M140="","",IF(M140&gt;=90,"A+",IF(M140&gt;=80,"A",IF(M140&gt;=70,"B+",IF(M140&gt;=60,"B",IF(M140&gt;=50,"C+",IF(M140&gt;=40,"C","F")))))))</f>
        <v/>
      </c>
      <c r="O140">
        <f>IF(OR(J140&lt;I140,L140&lt;I140),"FAIL","PASS")</f>
        <v/>
      </c>
    </row>
    <row r="141">
      <c r="L141">
        <f>IF(D141="","",J141+K141)</f>
        <v/>
      </c>
      <c r="M141" s="9">
        <f>IFERROR(L141/H141*100,"")</f>
        <v/>
      </c>
      <c r="N141">
        <f>IF(M141="","",IF(M141&gt;=90,"A+",IF(M141&gt;=80,"A",IF(M141&gt;=70,"B+",IF(M141&gt;=60,"B",IF(M141&gt;=50,"C+",IF(M141&gt;=40,"C","F")))))))</f>
        <v/>
      </c>
      <c r="O141">
        <f>IF(OR(J141&lt;I141,L141&lt;I141),"FAIL","PASS")</f>
        <v/>
      </c>
    </row>
    <row r="142">
      <c r="L142">
        <f>IF(D142="","",J142+K142)</f>
        <v/>
      </c>
      <c r="M142" s="9">
        <f>IFERROR(L142/H142*100,"")</f>
        <v/>
      </c>
      <c r="N142">
        <f>IF(M142="","",IF(M142&gt;=90,"A+",IF(M142&gt;=80,"A",IF(M142&gt;=70,"B+",IF(M142&gt;=60,"B",IF(M142&gt;=50,"C+",IF(M142&gt;=40,"C","F")))))))</f>
        <v/>
      </c>
      <c r="O142">
        <f>IF(OR(J142&lt;I142,L142&lt;I142),"FAIL","PASS")</f>
        <v/>
      </c>
    </row>
    <row r="143">
      <c r="L143">
        <f>IF(D143="","",J143+K143)</f>
        <v/>
      </c>
      <c r="M143" s="9">
        <f>IFERROR(L143/H143*100,"")</f>
        <v/>
      </c>
      <c r="N143">
        <f>IF(M143="","",IF(M143&gt;=90,"A+",IF(M143&gt;=80,"A",IF(M143&gt;=70,"B+",IF(M143&gt;=60,"B",IF(M143&gt;=50,"C+",IF(M143&gt;=40,"C","F")))))))</f>
        <v/>
      </c>
      <c r="O143">
        <f>IF(OR(J143&lt;I143,L143&lt;I143),"FAIL","PASS")</f>
        <v/>
      </c>
    </row>
    <row r="144">
      <c r="L144">
        <f>IF(D144="","",J144+K144)</f>
        <v/>
      </c>
      <c r="M144" s="9">
        <f>IFERROR(L144/H144*100,"")</f>
        <v/>
      </c>
      <c r="N144">
        <f>IF(M144="","",IF(M144&gt;=90,"A+",IF(M144&gt;=80,"A",IF(M144&gt;=70,"B+",IF(M144&gt;=60,"B",IF(M144&gt;=50,"C+",IF(M144&gt;=40,"C","F")))))))</f>
        <v/>
      </c>
      <c r="O144">
        <f>IF(OR(J144&lt;I144,L144&lt;I144),"FAIL","PASS")</f>
        <v/>
      </c>
    </row>
    <row r="145">
      <c r="L145">
        <f>IF(D145="","",J145+K145)</f>
        <v/>
      </c>
      <c r="M145" s="9">
        <f>IFERROR(L145/H145*100,"")</f>
        <v/>
      </c>
      <c r="N145">
        <f>IF(M145="","",IF(M145&gt;=90,"A+",IF(M145&gt;=80,"A",IF(M145&gt;=70,"B+",IF(M145&gt;=60,"B",IF(M145&gt;=50,"C+",IF(M145&gt;=40,"C","F")))))))</f>
        <v/>
      </c>
      <c r="O145">
        <f>IF(OR(J145&lt;I145,L145&lt;I145),"FAIL","PASS")</f>
        <v/>
      </c>
    </row>
    <row r="146">
      <c r="L146">
        <f>IF(D146="","",J146+K146)</f>
        <v/>
      </c>
      <c r="M146" s="9">
        <f>IFERROR(L146/H146*100,"")</f>
        <v/>
      </c>
      <c r="N146">
        <f>IF(M146="","",IF(M146&gt;=90,"A+",IF(M146&gt;=80,"A",IF(M146&gt;=70,"B+",IF(M146&gt;=60,"B",IF(M146&gt;=50,"C+",IF(M146&gt;=40,"C","F")))))))</f>
        <v/>
      </c>
      <c r="O146">
        <f>IF(OR(J146&lt;I146,L146&lt;I146),"FAIL","PASS")</f>
        <v/>
      </c>
    </row>
    <row r="147">
      <c r="L147">
        <f>IF(D147="","",J147+K147)</f>
        <v/>
      </c>
      <c r="M147" s="9">
        <f>IFERROR(L147/H147*100,"")</f>
        <v/>
      </c>
      <c r="N147">
        <f>IF(M147="","",IF(M147&gt;=90,"A+",IF(M147&gt;=80,"A",IF(M147&gt;=70,"B+",IF(M147&gt;=60,"B",IF(M147&gt;=50,"C+",IF(M147&gt;=40,"C","F")))))))</f>
        <v/>
      </c>
      <c r="O147">
        <f>IF(OR(J147&lt;I147,L147&lt;I147),"FAIL","PASS")</f>
        <v/>
      </c>
    </row>
    <row r="148">
      <c r="L148">
        <f>IF(D148="","",J148+K148)</f>
        <v/>
      </c>
      <c r="M148" s="9">
        <f>IFERROR(L148/H148*100,"")</f>
        <v/>
      </c>
      <c r="N148">
        <f>IF(M148="","",IF(M148&gt;=90,"A+",IF(M148&gt;=80,"A",IF(M148&gt;=70,"B+",IF(M148&gt;=60,"B",IF(M148&gt;=50,"C+",IF(M148&gt;=40,"C","F")))))))</f>
        <v/>
      </c>
      <c r="O148">
        <f>IF(OR(J148&lt;I148,L148&lt;I148),"FAIL","PASS")</f>
        <v/>
      </c>
    </row>
    <row r="149">
      <c r="L149">
        <f>IF(D149="","",J149+K149)</f>
        <v/>
      </c>
      <c r="M149" s="9">
        <f>IFERROR(L149/H149*100,"")</f>
        <v/>
      </c>
      <c r="N149">
        <f>IF(M149="","",IF(M149&gt;=90,"A+",IF(M149&gt;=80,"A",IF(M149&gt;=70,"B+",IF(M149&gt;=60,"B",IF(M149&gt;=50,"C+",IF(M149&gt;=40,"C","F")))))))</f>
        <v/>
      </c>
      <c r="O149">
        <f>IF(OR(J149&lt;I149,L149&lt;I149),"FAIL","PASS")</f>
        <v/>
      </c>
    </row>
    <row r="150">
      <c r="L150">
        <f>IF(D150="","",J150+K150)</f>
        <v/>
      </c>
      <c r="M150" s="9">
        <f>IFERROR(L150/H150*100,"")</f>
        <v/>
      </c>
      <c r="N150">
        <f>IF(M150="","",IF(M150&gt;=90,"A+",IF(M150&gt;=80,"A",IF(M150&gt;=70,"B+",IF(M150&gt;=60,"B",IF(M150&gt;=50,"C+",IF(M150&gt;=40,"C","F")))))))</f>
        <v/>
      </c>
      <c r="O150">
        <f>IF(OR(J150&lt;I150,L150&lt;I150),"FAIL","PASS")</f>
        <v/>
      </c>
    </row>
    <row r="151">
      <c r="L151">
        <f>IF(D151="","",J151+K151)</f>
        <v/>
      </c>
      <c r="M151" s="9">
        <f>IFERROR(L151/H151*100,"")</f>
        <v/>
      </c>
      <c r="N151">
        <f>IF(M151="","",IF(M151&gt;=90,"A+",IF(M151&gt;=80,"A",IF(M151&gt;=70,"B+",IF(M151&gt;=60,"B",IF(M151&gt;=50,"C+",IF(M151&gt;=40,"C","F")))))))</f>
        <v/>
      </c>
      <c r="O151">
        <f>IF(OR(J151&lt;I151,L151&lt;I151),"FAIL","PASS")</f>
        <v/>
      </c>
    </row>
    <row r="152">
      <c r="L152">
        <f>IF(D152="","",J152+K152)</f>
        <v/>
      </c>
      <c r="M152" s="9">
        <f>IFERROR(L152/H152*100,"")</f>
        <v/>
      </c>
      <c r="N152">
        <f>IF(M152="","",IF(M152&gt;=90,"A+",IF(M152&gt;=80,"A",IF(M152&gt;=70,"B+",IF(M152&gt;=60,"B",IF(M152&gt;=50,"C+",IF(M152&gt;=40,"C","F")))))))</f>
        <v/>
      </c>
      <c r="O152">
        <f>IF(OR(J152&lt;I152,L152&lt;I152),"FAIL","PASS")</f>
        <v/>
      </c>
    </row>
    <row r="153">
      <c r="L153">
        <f>IF(D153="","",J153+K153)</f>
        <v/>
      </c>
      <c r="M153" s="9">
        <f>IFERROR(L153/H153*100,"")</f>
        <v/>
      </c>
      <c r="N153">
        <f>IF(M153="","",IF(M153&gt;=90,"A+",IF(M153&gt;=80,"A",IF(M153&gt;=70,"B+",IF(M153&gt;=60,"B",IF(M153&gt;=50,"C+",IF(M153&gt;=40,"C","F")))))))</f>
        <v/>
      </c>
      <c r="O153">
        <f>IF(OR(J153&lt;I153,L153&lt;I153),"FAIL","PASS")</f>
        <v/>
      </c>
    </row>
    <row r="154">
      <c r="L154">
        <f>IF(D154="","",J154+K154)</f>
        <v/>
      </c>
      <c r="M154" s="9">
        <f>IFERROR(L154/H154*100,"")</f>
        <v/>
      </c>
      <c r="N154">
        <f>IF(M154="","",IF(M154&gt;=90,"A+",IF(M154&gt;=80,"A",IF(M154&gt;=70,"B+",IF(M154&gt;=60,"B",IF(M154&gt;=50,"C+",IF(M154&gt;=40,"C","F")))))))</f>
        <v/>
      </c>
      <c r="O154">
        <f>IF(OR(J154&lt;I154,L154&lt;I154),"FAIL","PASS")</f>
        <v/>
      </c>
    </row>
    <row r="155">
      <c r="L155">
        <f>IF(D155="","",J155+K155)</f>
        <v/>
      </c>
      <c r="M155" s="9">
        <f>IFERROR(L155/H155*100,"")</f>
        <v/>
      </c>
      <c r="N155">
        <f>IF(M155="","",IF(M155&gt;=90,"A+",IF(M155&gt;=80,"A",IF(M155&gt;=70,"B+",IF(M155&gt;=60,"B",IF(M155&gt;=50,"C+",IF(M155&gt;=40,"C","F")))))))</f>
        <v/>
      </c>
      <c r="O155">
        <f>IF(OR(J155&lt;I155,L155&lt;I155),"FAIL","PASS")</f>
        <v/>
      </c>
    </row>
    <row r="156">
      <c r="L156">
        <f>IF(D156="","",J156+K156)</f>
        <v/>
      </c>
      <c r="M156" s="9">
        <f>IFERROR(L156/H156*100,"")</f>
        <v/>
      </c>
      <c r="N156">
        <f>IF(M156="","",IF(M156&gt;=90,"A+",IF(M156&gt;=80,"A",IF(M156&gt;=70,"B+",IF(M156&gt;=60,"B",IF(M156&gt;=50,"C+",IF(M156&gt;=40,"C","F")))))))</f>
        <v/>
      </c>
      <c r="O156">
        <f>IF(OR(J156&lt;I156,L156&lt;I156),"FAIL","PASS")</f>
        <v/>
      </c>
    </row>
    <row r="157">
      <c r="L157">
        <f>IF(D157="","",J157+K157)</f>
        <v/>
      </c>
      <c r="M157" s="9">
        <f>IFERROR(L157/H157*100,"")</f>
        <v/>
      </c>
      <c r="N157">
        <f>IF(M157="","",IF(M157&gt;=90,"A+",IF(M157&gt;=80,"A",IF(M157&gt;=70,"B+",IF(M157&gt;=60,"B",IF(M157&gt;=50,"C+",IF(M157&gt;=40,"C","F")))))))</f>
        <v/>
      </c>
      <c r="O157">
        <f>IF(OR(J157&lt;I157,L157&lt;I157),"FAIL","PASS")</f>
        <v/>
      </c>
    </row>
    <row r="158">
      <c r="L158">
        <f>IF(D158="","",J158+K158)</f>
        <v/>
      </c>
      <c r="M158" s="9">
        <f>IFERROR(L158/H158*100,"")</f>
        <v/>
      </c>
      <c r="N158">
        <f>IF(M158="","",IF(M158&gt;=90,"A+",IF(M158&gt;=80,"A",IF(M158&gt;=70,"B+",IF(M158&gt;=60,"B",IF(M158&gt;=50,"C+",IF(M158&gt;=40,"C","F")))))))</f>
        <v/>
      </c>
      <c r="O158">
        <f>IF(OR(J158&lt;I158,L158&lt;I158),"FAIL","PASS")</f>
        <v/>
      </c>
    </row>
    <row r="159">
      <c r="L159">
        <f>IF(D159="","",J159+K159)</f>
        <v/>
      </c>
      <c r="M159" s="9">
        <f>IFERROR(L159/H159*100,"")</f>
        <v/>
      </c>
      <c r="N159">
        <f>IF(M159="","",IF(M159&gt;=90,"A+",IF(M159&gt;=80,"A",IF(M159&gt;=70,"B+",IF(M159&gt;=60,"B",IF(M159&gt;=50,"C+",IF(M159&gt;=40,"C","F")))))))</f>
        <v/>
      </c>
      <c r="O159">
        <f>IF(OR(J159&lt;I159,L159&lt;I159),"FAIL","PASS")</f>
        <v/>
      </c>
    </row>
    <row r="160">
      <c r="L160">
        <f>IF(D160="","",J160+K160)</f>
        <v/>
      </c>
      <c r="M160" s="9">
        <f>IFERROR(L160/H160*100,"")</f>
        <v/>
      </c>
      <c r="N160">
        <f>IF(M160="","",IF(M160&gt;=90,"A+",IF(M160&gt;=80,"A",IF(M160&gt;=70,"B+",IF(M160&gt;=60,"B",IF(M160&gt;=50,"C+",IF(M160&gt;=40,"C","F")))))))</f>
        <v/>
      </c>
      <c r="O160">
        <f>IF(OR(J160&lt;I160,L160&lt;I160),"FAIL","PASS")</f>
        <v/>
      </c>
    </row>
    <row r="161">
      <c r="L161">
        <f>IF(D161="","",J161+K161)</f>
        <v/>
      </c>
      <c r="M161" s="9">
        <f>IFERROR(L161/H161*100,"")</f>
        <v/>
      </c>
      <c r="N161">
        <f>IF(M161="","",IF(M161&gt;=90,"A+",IF(M161&gt;=80,"A",IF(M161&gt;=70,"B+",IF(M161&gt;=60,"B",IF(M161&gt;=50,"C+",IF(M161&gt;=40,"C","F")))))))</f>
        <v/>
      </c>
      <c r="O161">
        <f>IF(OR(J161&lt;I161,L161&lt;I161),"FAIL","PASS")</f>
        <v/>
      </c>
    </row>
    <row r="162">
      <c r="L162">
        <f>IF(D162="","",J162+K162)</f>
        <v/>
      </c>
      <c r="M162" s="9">
        <f>IFERROR(L162/H162*100,"")</f>
        <v/>
      </c>
      <c r="N162">
        <f>IF(M162="","",IF(M162&gt;=90,"A+",IF(M162&gt;=80,"A",IF(M162&gt;=70,"B+",IF(M162&gt;=60,"B",IF(M162&gt;=50,"C+",IF(M162&gt;=40,"C","F")))))))</f>
        <v/>
      </c>
      <c r="O162">
        <f>IF(OR(J162&lt;I162,L162&lt;I162),"FAIL","PASS")</f>
        <v/>
      </c>
    </row>
    <row r="163">
      <c r="L163">
        <f>IF(D163="","",J163+K163)</f>
        <v/>
      </c>
      <c r="M163" s="9">
        <f>IFERROR(L163/H163*100,"")</f>
        <v/>
      </c>
      <c r="N163">
        <f>IF(M163="","",IF(M163&gt;=90,"A+",IF(M163&gt;=80,"A",IF(M163&gt;=70,"B+",IF(M163&gt;=60,"B",IF(M163&gt;=50,"C+",IF(M163&gt;=40,"C","F")))))))</f>
        <v/>
      </c>
      <c r="O163">
        <f>IF(OR(J163&lt;I163,L163&lt;I163),"FAIL","PASS")</f>
        <v/>
      </c>
    </row>
    <row r="164">
      <c r="L164">
        <f>IF(D164="","",J164+K164)</f>
        <v/>
      </c>
      <c r="M164" s="9">
        <f>IFERROR(L164/H164*100,"")</f>
        <v/>
      </c>
      <c r="N164">
        <f>IF(M164="","",IF(M164&gt;=90,"A+",IF(M164&gt;=80,"A",IF(M164&gt;=70,"B+",IF(M164&gt;=60,"B",IF(M164&gt;=50,"C+",IF(M164&gt;=40,"C","F")))))))</f>
        <v/>
      </c>
      <c r="O164">
        <f>IF(OR(J164&lt;I164,L164&lt;I164),"FAIL","PASS")</f>
        <v/>
      </c>
    </row>
    <row r="165">
      <c r="L165">
        <f>IF(D165="","",J165+K165)</f>
        <v/>
      </c>
      <c r="M165" s="9">
        <f>IFERROR(L165/H165*100,"")</f>
        <v/>
      </c>
      <c r="N165">
        <f>IF(M165="","",IF(M165&gt;=90,"A+",IF(M165&gt;=80,"A",IF(M165&gt;=70,"B+",IF(M165&gt;=60,"B",IF(M165&gt;=50,"C+",IF(M165&gt;=40,"C","F")))))))</f>
        <v/>
      </c>
      <c r="O165">
        <f>IF(OR(J165&lt;I165,L165&lt;I165),"FAIL","PASS")</f>
        <v/>
      </c>
    </row>
    <row r="166">
      <c r="L166">
        <f>IF(D166="","",J166+K166)</f>
        <v/>
      </c>
      <c r="M166" s="9">
        <f>IFERROR(L166/H166*100,"")</f>
        <v/>
      </c>
      <c r="N166">
        <f>IF(M166="","",IF(M166&gt;=90,"A+",IF(M166&gt;=80,"A",IF(M166&gt;=70,"B+",IF(M166&gt;=60,"B",IF(M166&gt;=50,"C+",IF(M166&gt;=40,"C","F")))))))</f>
        <v/>
      </c>
      <c r="O166">
        <f>IF(OR(J166&lt;I166,L166&lt;I166),"FAIL","PASS")</f>
        <v/>
      </c>
    </row>
    <row r="167">
      <c r="L167">
        <f>IF(D167="","",J167+K167)</f>
        <v/>
      </c>
      <c r="M167" s="9">
        <f>IFERROR(L167/H167*100,"")</f>
        <v/>
      </c>
      <c r="N167">
        <f>IF(M167="","",IF(M167&gt;=90,"A+",IF(M167&gt;=80,"A",IF(M167&gt;=70,"B+",IF(M167&gt;=60,"B",IF(M167&gt;=50,"C+",IF(M167&gt;=40,"C","F")))))))</f>
        <v/>
      </c>
      <c r="O167">
        <f>IF(OR(J167&lt;I167,L167&lt;I167),"FAIL","PASS")</f>
        <v/>
      </c>
    </row>
    <row r="168">
      <c r="L168">
        <f>IF(D168="","",J168+K168)</f>
        <v/>
      </c>
      <c r="M168" s="9">
        <f>IFERROR(L168/H168*100,"")</f>
        <v/>
      </c>
      <c r="N168">
        <f>IF(M168="","",IF(M168&gt;=90,"A+",IF(M168&gt;=80,"A",IF(M168&gt;=70,"B+",IF(M168&gt;=60,"B",IF(M168&gt;=50,"C+",IF(M168&gt;=40,"C","F")))))))</f>
        <v/>
      </c>
      <c r="O168">
        <f>IF(OR(J168&lt;I168,L168&lt;I168),"FAIL","PASS")</f>
        <v/>
      </c>
    </row>
    <row r="169">
      <c r="L169">
        <f>IF(D169="","",J169+K169)</f>
        <v/>
      </c>
      <c r="M169" s="9">
        <f>IFERROR(L169/H169*100,"")</f>
        <v/>
      </c>
      <c r="N169">
        <f>IF(M169="","",IF(M169&gt;=90,"A+",IF(M169&gt;=80,"A",IF(M169&gt;=70,"B+",IF(M169&gt;=60,"B",IF(M169&gt;=50,"C+",IF(M169&gt;=40,"C","F")))))))</f>
        <v/>
      </c>
      <c r="O169">
        <f>IF(OR(J169&lt;I169,L169&lt;I169),"FAIL","PASS")</f>
        <v/>
      </c>
    </row>
    <row r="170">
      <c r="L170">
        <f>IF(D170="","",J170+K170)</f>
        <v/>
      </c>
      <c r="M170" s="9">
        <f>IFERROR(L170/H170*100,"")</f>
        <v/>
      </c>
      <c r="N170">
        <f>IF(M170="","",IF(M170&gt;=90,"A+",IF(M170&gt;=80,"A",IF(M170&gt;=70,"B+",IF(M170&gt;=60,"B",IF(M170&gt;=50,"C+",IF(M170&gt;=40,"C","F")))))))</f>
        <v/>
      </c>
      <c r="O170">
        <f>IF(OR(J170&lt;I170,L170&lt;I170),"FAIL","PASS")</f>
        <v/>
      </c>
    </row>
    <row r="171">
      <c r="L171">
        <f>IF(D171="","",J171+K171)</f>
        <v/>
      </c>
      <c r="M171" s="9">
        <f>IFERROR(L171/H171*100,"")</f>
        <v/>
      </c>
      <c r="N171">
        <f>IF(M171="","",IF(M171&gt;=90,"A+",IF(M171&gt;=80,"A",IF(M171&gt;=70,"B+",IF(M171&gt;=60,"B",IF(M171&gt;=50,"C+",IF(M171&gt;=40,"C","F")))))))</f>
        <v/>
      </c>
      <c r="O171">
        <f>IF(OR(J171&lt;I171,L171&lt;I171),"FAIL","PASS")</f>
        <v/>
      </c>
    </row>
    <row r="172">
      <c r="L172">
        <f>IF(D172="","",J172+K172)</f>
        <v/>
      </c>
      <c r="M172" s="9">
        <f>IFERROR(L172/H172*100,"")</f>
        <v/>
      </c>
      <c r="N172">
        <f>IF(M172="","",IF(M172&gt;=90,"A+",IF(M172&gt;=80,"A",IF(M172&gt;=70,"B+",IF(M172&gt;=60,"B",IF(M172&gt;=50,"C+",IF(M172&gt;=40,"C","F")))))))</f>
        <v/>
      </c>
      <c r="O172">
        <f>IF(OR(J172&lt;I172,L172&lt;I172),"FAIL","PASS")</f>
        <v/>
      </c>
    </row>
    <row r="173">
      <c r="L173">
        <f>IF(D173="","",J173+K173)</f>
        <v/>
      </c>
      <c r="M173" s="9">
        <f>IFERROR(L173/H173*100,"")</f>
        <v/>
      </c>
      <c r="N173">
        <f>IF(M173="","",IF(M173&gt;=90,"A+",IF(M173&gt;=80,"A",IF(M173&gt;=70,"B+",IF(M173&gt;=60,"B",IF(M173&gt;=50,"C+",IF(M173&gt;=40,"C","F")))))))</f>
        <v/>
      </c>
      <c r="O173">
        <f>IF(OR(J173&lt;I173,L173&lt;I173),"FAIL","PASS")</f>
        <v/>
      </c>
    </row>
    <row r="174">
      <c r="L174">
        <f>IF(D174="","",J174+K174)</f>
        <v/>
      </c>
      <c r="M174" s="9">
        <f>IFERROR(L174/H174*100,"")</f>
        <v/>
      </c>
      <c r="N174">
        <f>IF(M174="","",IF(M174&gt;=90,"A+",IF(M174&gt;=80,"A",IF(M174&gt;=70,"B+",IF(M174&gt;=60,"B",IF(M174&gt;=50,"C+",IF(M174&gt;=40,"C","F")))))))</f>
        <v/>
      </c>
      <c r="O174">
        <f>IF(OR(J174&lt;I174,L174&lt;I174),"FAIL","PASS")</f>
        <v/>
      </c>
    </row>
    <row r="175">
      <c r="L175">
        <f>IF(D175="","",J175+K175)</f>
        <v/>
      </c>
      <c r="M175" s="9">
        <f>IFERROR(L175/H175*100,"")</f>
        <v/>
      </c>
      <c r="N175">
        <f>IF(M175="","",IF(M175&gt;=90,"A+",IF(M175&gt;=80,"A",IF(M175&gt;=70,"B+",IF(M175&gt;=60,"B",IF(M175&gt;=50,"C+",IF(M175&gt;=40,"C","F")))))))</f>
        <v/>
      </c>
      <c r="O175">
        <f>IF(OR(J175&lt;I175,L175&lt;I175),"FAIL","PASS")</f>
        <v/>
      </c>
    </row>
    <row r="176">
      <c r="L176">
        <f>IF(D176="","",J176+K176)</f>
        <v/>
      </c>
      <c r="M176" s="9">
        <f>IFERROR(L176/H176*100,"")</f>
        <v/>
      </c>
      <c r="N176">
        <f>IF(M176="","",IF(M176&gt;=90,"A+",IF(M176&gt;=80,"A",IF(M176&gt;=70,"B+",IF(M176&gt;=60,"B",IF(M176&gt;=50,"C+",IF(M176&gt;=40,"C","F")))))))</f>
        <v/>
      </c>
      <c r="O176">
        <f>IF(OR(J176&lt;I176,L176&lt;I176),"FAIL","PASS")</f>
        <v/>
      </c>
    </row>
    <row r="177">
      <c r="L177">
        <f>IF(D177="","",J177+K177)</f>
        <v/>
      </c>
      <c r="M177" s="9">
        <f>IFERROR(L177/H177*100,"")</f>
        <v/>
      </c>
      <c r="N177">
        <f>IF(M177="","",IF(M177&gt;=90,"A+",IF(M177&gt;=80,"A",IF(M177&gt;=70,"B+",IF(M177&gt;=60,"B",IF(M177&gt;=50,"C+",IF(M177&gt;=40,"C","F")))))))</f>
        <v/>
      </c>
      <c r="O177">
        <f>IF(OR(J177&lt;I177,L177&lt;I177),"FAIL","PASS")</f>
        <v/>
      </c>
    </row>
    <row r="178">
      <c r="L178">
        <f>IF(D178="","",J178+K178)</f>
        <v/>
      </c>
      <c r="M178" s="9">
        <f>IFERROR(L178/H178*100,"")</f>
        <v/>
      </c>
      <c r="N178">
        <f>IF(M178="","",IF(M178&gt;=90,"A+",IF(M178&gt;=80,"A",IF(M178&gt;=70,"B+",IF(M178&gt;=60,"B",IF(M178&gt;=50,"C+",IF(M178&gt;=40,"C","F")))))))</f>
        <v/>
      </c>
      <c r="O178">
        <f>IF(OR(J178&lt;I178,L178&lt;I178),"FAIL","PASS")</f>
        <v/>
      </c>
    </row>
    <row r="179">
      <c r="L179">
        <f>IF(D179="","",J179+K179)</f>
        <v/>
      </c>
      <c r="M179" s="9">
        <f>IFERROR(L179/H179*100,"")</f>
        <v/>
      </c>
      <c r="N179">
        <f>IF(M179="","",IF(M179&gt;=90,"A+",IF(M179&gt;=80,"A",IF(M179&gt;=70,"B+",IF(M179&gt;=60,"B",IF(M179&gt;=50,"C+",IF(M179&gt;=40,"C","F")))))))</f>
        <v/>
      </c>
      <c r="O179">
        <f>IF(OR(J179&lt;I179,L179&lt;I179),"FAIL","PASS")</f>
        <v/>
      </c>
    </row>
    <row r="180">
      <c r="L180">
        <f>IF(D180="","",J180+K180)</f>
        <v/>
      </c>
      <c r="M180" s="9">
        <f>IFERROR(L180/H180*100,"")</f>
        <v/>
      </c>
      <c r="N180">
        <f>IF(M180="","",IF(M180&gt;=90,"A+",IF(M180&gt;=80,"A",IF(M180&gt;=70,"B+",IF(M180&gt;=60,"B",IF(M180&gt;=50,"C+",IF(M180&gt;=40,"C","F")))))))</f>
        <v/>
      </c>
      <c r="O180">
        <f>IF(OR(J180&lt;I180,L180&lt;I180),"FAIL","PASS")</f>
        <v/>
      </c>
    </row>
    <row r="181">
      <c r="L181">
        <f>IF(D181="","",J181+K181)</f>
        <v/>
      </c>
      <c r="M181" s="9">
        <f>IFERROR(L181/H181*100,"")</f>
        <v/>
      </c>
      <c r="N181">
        <f>IF(M181="","",IF(M181&gt;=90,"A+",IF(M181&gt;=80,"A",IF(M181&gt;=70,"B+",IF(M181&gt;=60,"B",IF(M181&gt;=50,"C+",IF(M181&gt;=40,"C","F")))))))</f>
        <v/>
      </c>
      <c r="O181">
        <f>IF(OR(J181&lt;I181,L181&lt;I181),"FAIL","PASS")</f>
        <v/>
      </c>
    </row>
    <row r="182">
      <c r="L182">
        <f>IF(D182="","",J182+K182)</f>
        <v/>
      </c>
      <c r="M182" s="9">
        <f>IFERROR(L182/H182*100,"")</f>
        <v/>
      </c>
      <c r="N182">
        <f>IF(M182="","",IF(M182&gt;=90,"A+",IF(M182&gt;=80,"A",IF(M182&gt;=70,"B+",IF(M182&gt;=60,"B",IF(M182&gt;=50,"C+",IF(M182&gt;=40,"C","F")))))))</f>
        <v/>
      </c>
      <c r="O182">
        <f>IF(OR(J182&lt;I182,L182&lt;I182),"FAIL","PASS")</f>
        <v/>
      </c>
    </row>
    <row r="183">
      <c r="L183">
        <f>IF(D183="","",J183+K183)</f>
        <v/>
      </c>
      <c r="M183" s="9">
        <f>IFERROR(L183/H183*100,"")</f>
        <v/>
      </c>
      <c r="N183">
        <f>IF(M183="","",IF(M183&gt;=90,"A+",IF(M183&gt;=80,"A",IF(M183&gt;=70,"B+",IF(M183&gt;=60,"B",IF(M183&gt;=50,"C+",IF(M183&gt;=40,"C","F")))))))</f>
        <v/>
      </c>
      <c r="O183">
        <f>IF(OR(J183&lt;I183,L183&lt;I183),"FAIL","PASS")</f>
        <v/>
      </c>
    </row>
    <row r="184">
      <c r="L184">
        <f>IF(D184="","",J184+K184)</f>
        <v/>
      </c>
      <c r="M184" s="9">
        <f>IFERROR(L184/H184*100,"")</f>
        <v/>
      </c>
      <c r="N184">
        <f>IF(M184="","",IF(M184&gt;=90,"A+",IF(M184&gt;=80,"A",IF(M184&gt;=70,"B+",IF(M184&gt;=60,"B",IF(M184&gt;=50,"C+",IF(M184&gt;=40,"C","F")))))))</f>
        <v/>
      </c>
      <c r="O184">
        <f>IF(OR(J184&lt;I184,L184&lt;I184),"FAIL","PASS")</f>
        <v/>
      </c>
    </row>
    <row r="185">
      <c r="L185">
        <f>IF(D185="","",J185+K185)</f>
        <v/>
      </c>
      <c r="M185" s="9">
        <f>IFERROR(L185/H185*100,"")</f>
        <v/>
      </c>
      <c r="N185">
        <f>IF(M185="","",IF(M185&gt;=90,"A+",IF(M185&gt;=80,"A",IF(M185&gt;=70,"B+",IF(M185&gt;=60,"B",IF(M185&gt;=50,"C+",IF(M185&gt;=40,"C","F")))))))</f>
        <v/>
      </c>
      <c r="O185">
        <f>IF(OR(J185&lt;I185,L185&lt;I185),"FAIL","PASS")</f>
        <v/>
      </c>
    </row>
    <row r="186">
      <c r="L186">
        <f>IF(D186="","",J186+K186)</f>
        <v/>
      </c>
      <c r="M186" s="9">
        <f>IFERROR(L186/H186*100,"")</f>
        <v/>
      </c>
      <c r="N186">
        <f>IF(M186="","",IF(M186&gt;=90,"A+",IF(M186&gt;=80,"A",IF(M186&gt;=70,"B+",IF(M186&gt;=60,"B",IF(M186&gt;=50,"C+",IF(M186&gt;=40,"C","F")))))))</f>
        <v/>
      </c>
      <c r="O186">
        <f>IF(OR(J186&lt;I186,L186&lt;I186),"FAIL","PASS")</f>
        <v/>
      </c>
    </row>
    <row r="187">
      <c r="L187">
        <f>IF(D187="","",J187+K187)</f>
        <v/>
      </c>
      <c r="M187" s="9">
        <f>IFERROR(L187/H187*100,"")</f>
        <v/>
      </c>
      <c r="N187">
        <f>IF(M187="","",IF(M187&gt;=90,"A+",IF(M187&gt;=80,"A",IF(M187&gt;=70,"B+",IF(M187&gt;=60,"B",IF(M187&gt;=50,"C+",IF(M187&gt;=40,"C","F")))))))</f>
        <v/>
      </c>
      <c r="O187">
        <f>IF(OR(J187&lt;I187,L187&lt;I187),"FAIL","PASS")</f>
        <v/>
      </c>
    </row>
    <row r="188">
      <c r="L188">
        <f>IF(D188="","",J188+K188)</f>
        <v/>
      </c>
      <c r="M188" s="9">
        <f>IFERROR(L188/H188*100,"")</f>
        <v/>
      </c>
      <c r="N188">
        <f>IF(M188="","",IF(M188&gt;=90,"A+",IF(M188&gt;=80,"A",IF(M188&gt;=70,"B+",IF(M188&gt;=60,"B",IF(M188&gt;=50,"C+",IF(M188&gt;=40,"C","F")))))))</f>
        <v/>
      </c>
      <c r="O188">
        <f>IF(OR(J188&lt;I188,L188&lt;I188),"FAIL","PASS")</f>
        <v/>
      </c>
    </row>
    <row r="189">
      <c r="L189">
        <f>IF(D189="","",J189+K189)</f>
        <v/>
      </c>
      <c r="M189" s="9">
        <f>IFERROR(L189/H189*100,"")</f>
        <v/>
      </c>
      <c r="N189">
        <f>IF(M189="","",IF(M189&gt;=90,"A+",IF(M189&gt;=80,"A",IF(M189&gt;=70,"B+",IF(M189&gt;=60,"B",IF(M189&gt;=50,"C+",IF(M189&gt;=40,"C","F")))))))</f>
        <v/>
      </c>
      <c r="O189">
        <f>IF(OR(J189&lt;I189,L189&lt;I189),"FAIL","PASS")</f>
        <v/>
      </c>
    </row>
    <row r="190">
      <c r="L190">
        <f>IF(D190="","",J190+K190)</f>
        <v/>
      </c>
      <c r="M190" s="9">
        <f>IFERROR(L190/H190*100,"")</f>
        <v/>
      </c>
      <c r="N190">
        <f>IF(M190="","",IF(M190&gt;=90,"A+",IF(M190&gt;=80,"A",IF(M190&gt;=70,"B+",IF(M190&gt;=60,"B",IF(M190&gt;=50,"C+",IF(M190&gt;=40,"C","F")))))))</f>
        <v/>
      </c>
      <c r="O190">
        <f>IF(OR(J190&lt;I190,L190&lt;I190),"FAIL","PASS")</f>
        <v/>
      </c>
    </row>
    <row r="191">
      <c r="L191">
        <f>IF(D191="","",J191+K191)</f>
        <v/>
      </c>
      <c r="M191" s="9">
        <f>IFERROR(L191/H191*100,"")</f>
        <v/>
      </c>
      <c r="N191">
        <f>IF(M191="","",IF(M191&gt;=90,"A+",IF(M191&gt;=80,"A",IF(M191&gt;=70,"B+",IF(M191&gt;=60,"B",IF(M191&gt;=50,"C+",IF(M191&gt;=40,"C","F")))))))</f>
        <v/>
      </c>
      <c r="O191">
        <f>IF(OR(J191&lt;I191,L191&lt;I191),"FAIL","PASS")</f>
        <v/>
      </c>
    </row>
    <row r="192">
      <c r="L192">
        <f>IF(D192="","",J192+K192)</f>
        <v/>
      </c>
      <c r="M192" s="9">
        <f>IFERROR(L192/H192*100,"")</f>
        <v/>
      </c>
      <c r="N192">
        <f>IF(M192="","",IF(M192&gt;=90,"A+",IF(M192&gt;=80,"A",IF(M192&gt;=70,"B+",IF(M192&gt;=60,"B",IF(M192&gt;=50,"C+",IF(M192&gt;=40,"C","F")))))))</f>
        <v/>
      </c>
      <c r="O192">
        <f>IF(OR(J192&lt;I192,L192&lt;I192),"FAIL","PASS")</f>
        <v/>
      </c>
    </row>
    <row r="193">
      <c r="L193">
        <f>IF(D193="","",J193+K193)</f>
        <v/>
      </c>
      <c r="M193" s="9">
        <f>IFERROR(L193/H193*100,"")</f>
        <v/>
      </c>
      <c r="N193">
        <f>IF(M193="","",IF(M193&gt;=90,"A+",IF(M193&gt;=80,"A",IF(M193&gt;=70,"B+",IF(M193&gt;=60,"B",IF(M193&gt;=50,"C+",IF(M193&gt;=40,"C","F")))))))</f>
        <v/>
      </c>
      <c r="O193">
        <f>IF(OR(J193&lt;I193,L193&lt;I193),"FAIL","PASS")</f>
        <v/>
      </c>
    </row>
    <row r="194">
      <c r="L194">
        <f>IF(D194="","",J194+K194)</f>
        <v/>
      </c>
      <c r="M194" s="9">
        <f>IFERROR(L194/H194*100,"")</f>
        <v/>
      </c>
      <c r="N194">
        <f>IF(M194="","",IF(M194&gt;=90,"A+",IF(M194&gt;=80,"A",IF(M194&gt;=70,"B+",IF(M194&gt;=60,"B",IF(M194&gt;=50,"C+",IF(M194&gt;=40,"C","F")))))))</f>
        <v/>
      </c>
      <c r="O194">
        <f>IF(OR(J194&lt;I194,L194&lt;I194),"FAIL","PASS")</f>
        <v/>
      </c>
    </row>
    <row r="195">
      <c r="L195">
        <f>IF(D195="","",J195+K195)</f>
        <v/>
      </c>
      <c r="M195" s="9">
        <f>IFERROR(L195/H195*100,"")</f>
        <v/>
      </c>
      <c r="N195">
        <f>IF(M195="","",IF(M195&gt;=90,"A+",IF(M195&gt;=80,"A",IF(M195&gt;=70,"B+",IF(M195&gt;=60,"B",IF(M195&gt;=50,"C+",IF(M195&gt;=40,"C","F")))))))</f>
        <v/>
      </c>
      <c r="O195">
        <f>IF(OR(J195&lt;I195,L195&lt;I195),"FAIL","PASS")</f>
        <v/>
      </c>
    </row>
    <row r="196">
      <c r="L196">
        <f>IF(D196="","",J196+K196)</f>
        <v/>
      </c>
      <c r="M196" s="9">
        <f>IFERROR(L196/H196*100,"")</f>
        <v/>
      </c>
      <c r="N196">
        <f>IF(M196="","",IF(M196&gt;=90,"A+",IF(M196&gt;=80,"A",IF(M196&gt;=70,"B+",IF(M196&gt;=60,"B",IF(M196&gt;=50,"C+",IF(M196&gt;=40,"C","F")))))))</f>
        <v/>
      </c>
      <c r="O196">
        <f>IF(OR(J196&lt;I196,L196&lt;I196),"FAIL","PASS")</f>
        <v/>
      </c>
    </row>
    <row r="197">
      <c r="L197">
        <f>IF(D197="","",J197+K197)</f>
        <v/>
      </c>
      <c r="M197" s="9">
        <f>IFERROR(L197/H197*100,"")</f>
        <v/>
      </c>
      <c r="N197">
        <f>IF(M197="","",IF(M197&gt;=90,"A+",IF(M197&gt;=80,"A",IF(M197&gt;=70,"B+",IF(M197&gt;=60,"B",IF(M197&gt;=50,"C+",IF(M197&gt;=40,"C","F")))))))</f>
        <v/>
      </c>
      <c r="O197">
        <f>IF(OR(J197&lt;I197,L197&lt;I197),"FAIL","PASS")</f>
        <v/>
      </c>
    </row>
    <row r="198">
      <c r="L198">
        <f>IF(D198="","",J198+K198)</f>
        <v/>
      </c>
      <c r="M198" s="9">
        <f>IFERROR(L198/H198*100,"")</f>
        <v/>
      </c>
      <c r="N198">
        <f>IF(M198="","",IF(M198&gt;=90,"A+",IF(M198&gt;=80,"A",IF(M198&gt;=70,"B+",IF(M198&gt;=60,"B",IF(M198&gt;=50,"C+",IF(M198&gt;=40,"C","F")))))))</f>
        <v/>
      </c>
      <c r="O198">
        <f>IF(OR(J198&lt;I198,L198&lt;I198),"FAIL","PASS")</f>
        <v/>
      </c>
    </row>
    <row r="199">
      <c r="L199">
        <f>IF(D199="","",J199+K199)</f>
        <v/>
      </c>
      <c r="M199" s="9">
        <f>IFERROR(L199/H199*100,"")</f>
        <v/>
      </c>
      <c r="N199">
        <f>IF(M199="","",IF(M199&gt;=90,"A+",IF(M199&gt;=80,"A",IF(M199&gt;=70,"B+",IF(M199&gt;=60,"B",IF(M199&gt;=50,"C+",IF(M199&gt;=40,"C","F")))))))</f>
        <v/>
      </c>
      <c r="O199">
        <f>IF(OR(J199&lt;I199,L199&lt;I199),"FAIL","PASS")</f>
        <v/>
      </c>
    </row>
    <row r="200">
      <c r="L200">
        <f>IF(D200="","",J200+K200)</f>
        <v/>
      </c>
      <c r="M200" s="9">
        <f>IFERROR(L200/H200*100,"")</f>
        <v/>
      </c>
      <c r="N200">
        <f>IF(M200="","",IF(M200&gt;=90,"A+",IF(M200&gt;=80,"A",IF(M200&gt;=70,"B+",IF(M200&gt;=60,"B",IF(M200&gt;=50,"C+",IF(M200&gt;=40,"C","F")))))))</f>
        <v/>
      </c>
      <c r="O200">
        <f>IF(OR(J200&lt;I200,L200&lt;I200),"FAIL","PASS")</f>
        <v/>
      </c>
    </row>
    <row r="201">
      <c r="L201">
        <f>IF(D201="","",J201+K201)</f>
        <v/>
      </c>
      <c r="M201" s="9">
        <f>IFERROR(L201/H201*100,"")</f>
        <v/>
      </c>
      <c r="N201">
        <f>IF(M201="","",IF(M201&gt;=90,"A+",IF(M201&gt;=80,"A",IF(M201&gt;=70,"B+",IF(M201&gt;=60,"B",IF(M201&gt;=50,"C+",IF(M201&gt;=40,"C","F")))))))</f>
        <v/>
      </c>
      <c r="O201">
        <f>IF(OR(J201&lt;I201,L201&lt;I201),"FAIL","PASS")</f>
        <v/>
      </c>
    </row>
    <row r="202">
      <c r="L202">
        <f>IF(D202="","",J202+K202)</f>
        <v/>
      </c>
      <c r="M202" s="9">
        <f>IFERROR(L202/H202*100,"")</f>
        <v/>
      </c>
      <c r="N202">
        <f>IF(M202="","",IF(M202&gt;=90,"A+",IF(M202&gt;=80,"A",IF(M202&gt;=70,"B+",IF(M202&gt;=60,"B",IF(M202&gt;=50,"C+",IF(M202&gt;=40,"C","F")))))))</f>
        <v/>
      </c>
      <c r="O202">
        <f>IF(OR(J202&lt;I202,L202&lt;I202),"FAIL","PASS")</f>
        <v/>
      </c>
    </row>
    <row r="203">
      <c r="L203">
        <f>IF(D203="","",J203+K203)</f>
        <v/>
      </c>
      <c r="M203" s="9">
        <f>IFERROR(L203/H203*100,"")</f>
        <v/>
      </c>
      <c r="N203">
        <f>IF(M203="","",IF(M203&gt;=90,"A+",IF(M203&gt;=80,"A",IF(M203&gt;=70,"B+",IF(M203&gt;=60,"B",IF(M203&gt;=50,"C+",IF(M203&gt;=40,"C","F")))))))</f>
        <v/>
      </c>
      <c r="O203">
        <f>IF(OR(J203&lt;I203,L203&lt;I203),"FAIL","PASS")</f>
        <v/>
      </c>
    </row>
    <row r="204">
      <c r="L204">
        <f>IF(D204="","",J204+K204)</f>
        <v/>
      </c>
      <c r="M204" s="9">
        <f>IFERROR(L204/H204*100,"")</f>
        <v/>
      </c>
      <c r="N204">
        <f>IF(M204="","",IF(M204&gt;=90,"A+",IF(M204&gt;=80,"A",IF(M204&gt;=70,"B+",IF(M204&gt;=60,"B",IF(M204&gt;=50,"C+",IF(M204&gt;=40,"C","F")))))))</f>
        <v/>
      </c>
      <c r="O204">
        <f>IF(OR(J204&lt;I204,L204&lt;I204),"FAIL","PASS")</f>
        <v/>
      </c>
    </row>
    <row r="205">
      <c r="L205">
        <f>IF(D205="","",J205+K205)</f>
        <v/>
      </c>
      <c r="M205" s="9">
        <f>IFERROR(L205/H205*100,"")</f>
        <v/>
      </c>
      <c r="N205">
        <f>IF(M205="","",IF(M205&gt;=90,"A+",IF(M205&gt;=80,"A",IF(M205&gt;=70,"B+",IF(M205&gt;=60,"B",IF(M205&gt;=50,"C+",IF(M205&gt;=40,"C","F")))))))</f>
        <v/>
      </c>
      <c r="O205">
        <f>IF(OR(J205&lt;I205,L205&lt;I205),"FAIL","PASS")</f>
        <v/>
      </c>
    </row>
    <row r="206">
      <c r="L206">
        <f>IF(D206="","",J206+K206)</f>
        <v/>
      </c>
      <c r="M206" s="9">
        <f>IFERROR(L206/H206*100,"")</f>
        <v/>
      </c>
      <c r="N206">
        <f>IF(M206="","",IF(M206&gt;=90,"A+",IF(M206&gt;=80,"A",IF(M206&gt;=70,"B+",IF(M206&gt;=60,"B",IF(M206&gt;=50,"C+",IF(M206&gt;=40,"C","F")))))))</f>
        <v/>
      </c>
      <c r="O206">
        <f>IF(OR(J206&lt;I206,L206&lt;I206),"FAIL","PASS")</f>
        <v/>
      </c>
    </row>
    <row r="207">
      <c r="L207">
        <f>IF(D207="","",J207+K207)</f>
        <v/>
      </c>
      <c r="M207" s="9">
        <f>IFERROR(L207/H207*100,"")</f>
        <v/>
      </c>
      <c r="N207">
        <f>IF(M207="","",IF(M207&gt;=90,"A+",IF(M207&gt;=80,"A",IF(M207&gt;=70,"B+",IF(M207&gt;=60,"B",IF(M207&gt;=50,"C+",IF(M207&gt;=40,"C","F")))))))</f>
        <v/>
      </c>
      <c r="O207">
        <f>IF(OR(J207&lt;I207,L207&lt;I207),"FAIL","PASS")</f>
        <v/>
      </c>
    </row>
    <row r="208">
      <c r="L208">
        <f>IF(D208="","",J208+K208)</f>
        <v/>
      </c>
      <c r="M208" s="9">
        <f>IFERROR(L208/H208*100,"")</f>
        <v/>
      </c>
      <c r="N208">
        <f>IF(M208="","",IF(M208&gt;=90,"A+",IF(M208&gt;=80,"A",IF(M208&gt;=70,"B+",IF(M208&gt;=60,"B",IF(M208&gt;=50,"C+",IF(M208&gt;=40,"C","F")))))))</f>
        <v/>
      </c>
      <c r="O208">
        <f>IF(OR(J208&lt;I208,L208&lt;I208),"FAIL","PASS")</f>
        <v/>
      </c>
    </row>
    <row r="209">
      <c r="L209">
        <f>IF(D209="","",J209+K209)</f>
        <v/>
      </c>
      <c r="M209" s="9">
        <f>IFERROR(L209/H209*100,"")</f>
        <v/>
      </c>
      <c r="N209">
        <f>IF(M209="","",IF(M209&gt;=90,"A+",IF(M209&gt;=80,"A",IF(M209&gt;=70,"B+",IF(M209&gt;=60,"B",IF(M209&gt;=50,"C+",IF(M209&gt;=40,"C","F")))))))</f>
        <v/>
      </c>
      <c r="O209">
        <f>IF(OR(J209&lt;I209,L209&lt;I209),"FAIL","PASS")</f>
        <v/>
      </c>
    </row>
    <row r="210">
      <c r="L210">
        <f>IF(D210="","",J210+K210)</f>
        <v/>
      </c>
      <c r="M210" s="9">
        <f>IFERROR(L210/H210*100,"")</f>
        <v/>
      </c>
      <c r="N210">
        <f>IF(M210="","",IF(M210&gt;=90,"A+",IF(M210&gt;=80,"A",IF(M210&gt;=70,"B+",IF(M210&gt;=60,"B",IF(M210&gt;=50,"C+",IF(M210&gt;=40,"C","F")))))))</f>
        <v/>
      </c>
      <c r="O210">
        <f>IF(OR(J210&lt;I210,L210&lt;I210),"FAIL","PASS")</f>
        <v/>
      </c>
    </row>
    <row r="211">
      <c r="L211">
        <f>IF(D211="","",J211+K211)</f>
        <v/>
      </c>
      <c r="M211" s="9">
        <f>IFERROR(L211/H211*100,"")</f>
        <v/>
      </c>
      <c r="N211">
        <f>IF(M211="","",IF(M211&gt;=90,"A+",IF(M211&gt;=80,"A",IF(M211&gt;=70,"B+",IF(M211&gt;=60,"B",IF(M211&gt;=50,"C+",IF(M211&gt;=40,"C","F")))))))</f>
        <v/>
      </c>
      <c r="O211">
        <f>IF(OR(J211&lt;I211,L211&lt;I211),"FAIL","PASS")</f>
        <v/>
      </c>
    </row>
    <row r="212">
      <c r="L212">
        <f>IF(D212="","",J212+K212)</f>
        <v/>
      </c>
      <c r="M212" s="9">
        <f>IFERROR(L212/H212*100,"")</f>
        <v/>
      </c>
      <c r="N212">
        <f>IF(M212="","",IF(M212&gt;=90,"A+",IF(M212&gt;=80,"A",IF(M212&gt;=70,"B+",IF(M212&gt;=60,"B",IF(M212&gt;=50,"C+",IF(M212&gt;=40,"C","F")))))))</f>
        <v/>
      </c>
      <c r="O212">
        <f>IF(OR(J212&lt;I212,L212&lt;I212),"FAIL","PASS")</f>
        <v/>
      </c>
    </row>
    <row r="213">
      <c r="L213">
        <f>IF(D213="","",J213+K213)</f>
        <v/>
      </c>
      <c r="M213" s="9">
        <f>IFERROR(L213/H213*100,"")</f>
        <v/>
      </c>
      <c r="N213">
        <f>IF(M213="","",IF(M213&gt;=90,"A+",IF(M213&gt;=80,"A",IF(M213&gt;=70,"B+",IF(M213&gt;=60,"B",IF(M213&gt;=50,"C+",IF(M213&gt;=40,"C","F")))))))</f>
        <v/>
      </c>
      <c r="O213">
        <f>IF(OR(J213&lt;I213,L213&lt;I213),"FAIL","PASS")</f>
        <v/>
      </c>
    </row>
    <row r="214">
      <c r="L214">
        <f>IF(D214="","",J214+K214)</f>
        <v/>
      </c>
      <c r="M214" s="9">
        <f>IFERROR(L214/H214*100,"")</f>
        <v/>
      </c>
      <c r="N214">
        <f>IF(M214="","",IF(M214&gt;=90,"A+",IF(M214&gt;=80,"A",IF(M214&gt;=70,"B+",IF(M214&gt;=60,"B",IF(M214&gt;=50,"C+",IF(M214&gt;=40,"C","F")))))))</f>
        <v/>
      </c>
      <c r="O214">
        <f>IF(OR(J214&lt;I214,L214&lt;I214),"FAIL","PASS")</f>
        <v/>
      </c>
    </row>
    <row r="215">
      <c r="L215">
        <f>IF(D215="","",J215+K215)</f>
        <v/>
      </c>
      <c r="M215" s="9">
        <f>IFERROR(L215/H215*100,"")</f>
        <v/>
      </c>
      <c r="N215">
        <f>IF(M215="","",IF(M215&gt;=90,"A+",IF(M215&gt;=80,"A",IF(M215&gt;=70,"B+",IF(M215&gt;=60,"B",IF(M215&gt;=50,"C+",IF(M215&gt;=40,"C","F")))))))</f>
        <v/>
      </c>
      <c r="O215">
        <f>IF(OR(J215&lt;I215,L215&lt;I215),"FAIL","PASS")</f>
        <v/>
      </c>
    </row>
    <row r="216">
      <c r="L216">
        <f>IF(D216="","",J216+K216)</f>
        <v/>
      </c>
      <c r="M216" s="9">
        <f>IFERROR(L216/H216*100,"")</f>
        <v/>
      </c>
      <c r="N216">
        <f>IF(M216="","",IF(M216&gt;=90,"A+",IF(M216&gt;=80,"A",IF(M216&gt;=70,"B+",IF(M216&gt;=60,"B",IF(M216&gt;=50,"C+",IF(M216&gt;=40,"C","F")))))))</f>
        <v/>
      </c>
      <c r="O216">
        <f>IF(OR(J216&lt;I216,L216&lt;I216),"FAIL","PASS")</f>
        <v/>
      </c>
    </row>
    <row r="217">
      <c r="L217">
        <f>IF(D217="","",J217+K217)</f>
        <v/>
      </c>
      <c r="M217" s="9">
        <f>IFERROR(L217/H217*100,"")</f>
        <v/>
      </c>
      <c r="N217">
        <f>IF(M217="","",IF(M217&gt;=90,"A+",IF(M217&gt;=80,"A",IF(M217&gt;=70,"B+",IF(M217&gt;=60,"B",IF(M217&gt;=50,"C+",IF(M217&gt;=40,"C","F")))))))</f>
        <v/>
      </c>
      <c r="O217">
        <f>IF(OR(J217&lt;I217,L217&lt;I217),"FAIL","PASS")</f>
        <v/>
      </c>
    </row>
    <row r="218">
      <c r="L218">
        <f>IF(D218="","",J218+K218)</f>
        <v/>
      </c>
      <c r="M218" s="9">
        <f>IFERROR(L218/H218*100,"")</f>
        <v/>
      </c>
      <c r="N218">
        <f>IF(M218="","",IF(M218&gt;=90,"A+",IF(M218&gt;=80,"A",IF(M218&gt;=70,"B+",IF(M218&gt;=60,"B",IF(M218&gt;=50,"C+",IF(M218&gt;=40,"C","F")))))))</f>
        <v/>
      </c>
      <c r="O218">
        <f>IF(OR(J218&lt;I218,L218&lt;I218),"FAIL","PASS")</f>
        <v/>
      </c>
    </row>
    <row r="219">
      <c r="L219">
        <f>IF(D219="","",J219+K219)</f>
        <v/>
      </c>
      <c r="M219" s="9">
        <f>IFERROR(L219/H219*100,"")</f>
        <v/>
      </c>
      <c r="N219">
        <f>IF(M219="","",IF(M219&gt;=90,"A+",IF(M219&gt;=80,"A",IF(M219&gt;=70,"B+",IF(M219&gt;=60,"B",IF(M219&gt;=50,"C+",IF(M219&gt;=40,"C","F")))))))</f>
        <v/>
      </c>
      <c r="O219">
        <f>IF(OR(J219&lt;I219,L219&lt;I219),"FAIL","PASS")</f>
        <v/>
      </c>
    </row>
    <row r="220">
      <c r="L220">
        <f>IF(D220="","",J220+K220)</f>
        <v/>
      </c>
      <c r="M220" s="9">
        <f>IFERROR(L220/H220*100,"")</f>
        <v/>
      </c>
      <c r="N220">
        <f>IF(M220="","",IF(M220&gt;=90,"A+",IF(M220&gt;=80,"A",IF(M220&gt;=70,"B+",IF(M220&gt;=60,"B",IF(M220&gt;=50,"C+",IF(M220&gt;=40,"C","F")))))))</f>
        <v/>
      </c>
      <c r="O220">
        <f>IF(OR(J220&lt;I220,L220&lt;I220),"FAIL","PASS")</f>
        <v/>
      </c>
    </row>
    <row r="221">
      <c r="L221">
        <f>IF(D221="","",J221+K221)</f>
        <v/>
      </c>
      <c r="M221" s="9">
        <f>IFERROR(L221/H221*100,"")</f>
        <v/>
      </c>
      <c r="N221">
        <f>IF(M221="","",IF(M221&gt;=90,"A+",IF(M221&gt;=80,"A",IF(M221&gt;=70,"B+",IF(M221&gt;=60,"B",IF(M221&gt;=50,"C+",IF(M221&gt;=40,"C","F")))))))</f>
        <v/>
      </c>
      <c r="O221">
        <f>IF(OR(J221&lt;I221,L221&lt;I221),"FAIL","PASS")</f>
        <v/>
      </c>
    </row>
    <row r="222">
      <c r="L222">
        <f>IF(D222="","",J222+K222)</f>
        <v/>
      </c>
      <c r="M222" s="9">
        <f>IFERROR(L222/H222*100,"")</f>
        <v/>
      </c>
      <c r="N222">
        <f>IF(M222="","",IF(M222&gt;=90,"A+",IF(M222&gt;=80,"A",IF(M222&gt;=70,"B+",IF(M222&gt;=60,"B",IF(M222&gt;=50,"C+",IF(M222&gt;=40,"C","F")))))))</f>
        <v/>
      </c>
      <c r="O222">
        <f>IF(OR(J222&lt;I222,L222&lt;I222),"FAIL","PASS")</f>
        <v/>
      </c>
    </row>
    <row r="223">
      <c r="L223">
        <f>IF(D223="","",J223+K223)</f>
        <v/>
      </c>
      <c r="M223" s="9">
        <f>IFERROR(L223/H223*100,"")</f>
        <v/>
      </c>
      <c r="N223">
        <f>IF(M223="","",IF(M223&gt;=90,"A+",IF(M223&gt;=80,"A",IF(M223&gt;=70,"B+",IF(M223&gt;=60,"B",IF(M223&gt;=50,"C+",IF(M223&gt;=40,"C","F")))))))</f>
        <v/>
      </c>
      <c r="O223">
        <f>IF(OR(J223&lt;I223,L223&lt;I223),"FAIL","PASS")</f>
        <v/>
      </c>
    </row>
    <row r="224">
      <c r="L224">
        <f>IF(D224="","",J224+K224)</f>
        <v/>
      </c>
      <c r="M224" s="9">
        <f>IFERROR(L224/H224*100,"")</f>
        <v/>
      </c>
      <c r="N224">
        <f>IF(M224="","",IF(M224&gt;=90,"A+",IF(M224&gt;=80,"A",IF(M224&gt;=70,"B+",IF(M224&gt;=60,"B",IF(M224&gt;=50,"C+",IF(M224&gt;=40,"C","F")))))))</f>
        <v/>
      </c>
      <c r="O224">
        <f>IF(OR(J224&lt;I224,L224&lt;I224),"FAIL","PASS")</f>
        <v/>
      </c>
    </row>
    <row r="225">
      <c r="L225">
        <f>IF(D225="","",J225+K225)</f>
        <v/>
      </c>
      <c r="M225" s="9">
        <f>IFERROR(L225/H225*100,"")</f>
        <v/>
      </c>
      <c r="N225">
        <f>IF(M225="","",IF(M225&gt;=90,"A+",IF(M225&gt;=80,"A",IF(M225&gt;=70,"B+",IF(M225&gt;=60,"B",IF(M225&gt;=50,"C+",IF(M225&gt;=40,"C","F")))))))</f>
        <v/>
      </c>
      <c r="O225">
        <f>IF(OR(J225&lt;I225,L225&lt;I225),"FAIL","PASS")</f>
        <v/>
      </c>
    </row>
    <row r="226">
      <c r="L226">
        <f>IF(D226="","",J226+K226)</f>
        <v/>
      </c>
      <c r="M226" s="9">
        <f>IFERROR(L226/H226*100,"")</f>
        <v/>
      </c>
      <c r="N226">
        <f>IF(M226="","",IF(M226&gt;=90,"A+",IF(M226&gt;=80,"A",IF(M226&gt;=70,"B+",IF(M226&gt;=60,"B",IF(M226&gt;=50,"C+",IF(M226&gt;=40,"C","F")))))))</f>
        <v/>
      </c>
      <c r="O226">
        <f>IF(OR(J226&lt;I226,L226&lt;I226),"FAIL","PASS")</f>
        <v/>
      </c>
    </row>
    <row r="227">
      <c r="L227">
        <f>IF(D227="","",J227+K227)</f>
        <v/>
      </c>
      <c r="M227" s="9">
        <f>IFERROR(L227/H227*100,"")</f>
        <v/>
      </c>
      <c r="N227">
        <f>IF(M227="","",IF(M227&gt;=90,"A+",IF(M227&gt;=80,"A",IF(M227&gt;=70,"B+",IF(M227&gt;=60,"B",IF(M227&gt;=50,"C+",IF(M227&gt;=40,"C","F")))))))</f>
        <v/>
      </c>
      <c r="O227">
        <f>IF(OR(J227&lt;I227,L227&lt;I227),"FAIL","PASS")</f>
        <v/>
      </c>
    </row>
    <row r="228">
      <c r="L228">
        <f>IF(D228="","",J228+K228)</f>
        <v/>
      </c>
      <c r="M228" s="9">
        <f>IFERROR(L228/H228*100,"")</f>
        <v/>
      </c>
      <c r="N228">
        <f>IF(M228="","",IF(M228&gt;=90,"A+",IF(M228&gt;=80,"A",IF(M228&gt;=70,"B+",IF(M228&gt;=60,"B",IF(M228&gt;=50,"C+",IF(M228&gt;=40,"C","F")))))))</f>
        <v/>
      </c>
      <c r="O228">
        <f>IF(OR(J228&lt;I228,L228&lt;I228),"FAIL","PASS")</f>
        <v/>
      </c>
    </row>
    <row r="229">
      <c r="L229">
        <f>IF(D229="","",J229+K229)</f>
        <v/>
      </c>
      <c r="M229" s="9">
        <f>IFERROR(L229/H229*100,"")</f>
        <v/>
      </c>
      <c r="N229">
        <f>IF(M229="","",IF(M229&gt;=90,"A+",IF(M229&gt;=80,"A",IF(M229&gt;=70,"B+",IF(M229&gt;=60,"B",IF(M229&gt;=50,"C+",IF(M229&gt;=40,"C","F")))))))</f>
        <v/>
      </c>
      <c r="O229">
        <f>IF(OR(J229&lt;I229,L229&lt;I229),"FAIL","PASS")</f>
        <v/>
      </c>
    </row>
    <row r="230">
      <c r="L230">
        <f>IF(D230="","",J230+K230)</f>
        <v/>
      </c>
      <c r="M230" s="9">
        <f>IFERROR(L230/H230*100,"")</f>
        <v/>
      </c>
      <c r="N230">
        <f>IF(M230="","",IF(M230&gt;=90,"A+",IF(M230&gt;=80,"A",IF(M230&gt;=70,"B+",IF(M230&gt;=60,"B",IF(M230&gt;=50,"C+",IF(M230&gt;=40,"C","F")))))))</f>
        <v/>
      </c>
      <c r="O230">
        <f>IF(OR(J230&lt;I230,L230&lt;I230),"FAIL","PASS")</f>
        <v/>
      </c>
    </row>
    <row r="231">
      <c r="L231">
        <f>IF(D231="","",J231+K231)</f>
        <v/>
      </c>
      <c r="M231" s="9">
        <f>IFERROR(L231/H231*100,"")</f>
        <v/>
      </c>
      <c r="N231">
        <f>IF(M231="","",IF(M231&gt;=90,"A+",IF(M231&gt;=80,"A",IF(M231&gt;=70,"B+",IF(M231&gt;=60,"B",IF(M231&gt;=50,"C+",IF(M231&gt;=40,"C","F")))))))</f>
        <v/>
      </c>
      <c r="O231">
        <f>IF(OR(J231&lt;I231,L231&lt;I231),"FAIL","PASS")</f>
        <v/>
      </c>
    </row>
    <row r="232">
      <c r="L232">
        <f>IF(D232="","",J232+K232)</f>
        <v/>
      </c>
      <c r="M232" s="9">
        <f>IFERROR(L232/H232*100,"")</f>
        <v/>
      </c>
      <c r="N232">
        <f>IF(M232="","",IF(M232&gt;=90,"A+",IF(M232&gt;=80,"A",IF(M232&gt;=70,"B+",IF(M232&gt;=60,"B",IF(M232&gt;=50,"C+",IF(M232&gt;=40,"C","F")))))))</f>
        <v/>
      </c>
      <c r="O232">
        <f>IF(OR(J232&lt;I232,L232&lt;I232),"FAIL","PASS")</f>
        <v/>
      </c>
    </row>
    <row r="233">
      <c r="L233">
        <f>IF(D233="","",J233+K233)</f>
        <v/>
      </c>
      <c r="M233" s="9">
        <f>IFERROR(L233/H233*100,"")</f>
        <v/>
      </c>
      <c r="N233">
        <f>IF(M233="","",IF(M233&gt;=90,"A+",IF(M233&gt;=80,"A",IF(M233&gt;=70,"B+",IF(M233&gt;=60,"B",IF(M233&gt;=50,"C+",IF(M233&gt;=40,"C","F")))))))</f>
        <v/>
      </c>
      <c r="O233">
        <f>IF(OR(J233&lt;I233,L233&lt;I233),"FAIL","PASS")</f>
        <v/>
      </c>
    </row>
    <row r="234">
      <c r="L234">
        <f>IF(D234="","",J234+K234)</f>
        <v/>
      </c>
      <c r="M234" s="9">
        <f>IFERROR(L234/H234*100,"")</f>
        <v/>
      </c>
      <c r="N234">
        <f>IF(M234="","",IF(M234&gt;=90,"A+",IF(M234&gt;=80,"A",IF(M234&gt;=70,"B+",IF(M234&gt;=60,"B",IF(M234&gt;=50,"C+",IF(M234&gt;=40,"C","F")))))))</f>
        <v/>
      </c>
      <c r="O234">
        <f>IF(OR(J234&lt;I234,L234&lt;I234),"FAIL","PASS")</f>
        <v/>
      </c>
    </row>
    <row r="235">
      <c r="L235">
        <f>IF(D235="","",J235+K235)</f>
        <v/>
      </c>
      <c r="M235" s="9">
        <f>IFERROR(L235/H235*100,"")</f>
        <v/>
      </c>
      <c r="N235">
        <f>IF(M235="","",IF(M235&gt;=90,"A+",IF(M235&gt;=80,"A",IF(M235&gt;=70,"B+",IF(M235&gt;=60,"B",IF(M235&gt;=50,"C+",IF(M235&gt;=40,"C","F")))))))</f>
        <v/>
      </c>
      <c r="O235">
        <f>IF(OR(J235&lt;I235,L235&lt;I235),"FAIL","PASS")</f>
        <v/>
      </c>
    </row>
    <row r="236">
      <c r="L236">
        <f>IF(D236="","",J236+K236)</f>
        <v/>
      </c>
      <c r="M236" s="9">
        <f>IFERROR(L236/H236*100,"")</f>
        <v/>
      </c>
      <c r="N236">
        <f>IF(M236="","",IF(M236&gt;=90,"A+",IF(M236&gt;=80,"A",IF(M236&gt;=70,"B+",IF(M236&gt;=60,"B",IF(M236&gt;=50,"C+",IF(M236&gt;=40,"C","F")))))))</f>
        <v/>
      </c>
      <c r="O236">
        <f>IF(OR(J236&lt;I236,L236&lt;I236),"FAIL","PASS")</f>
        <v/>
      </c>
    </row>
    <row r="237">
      <c r="L237">
        <f>IF(D237="","",J237+K237)</f>
        <v/>
      </c>
      <c r="M237" s="9">
        <f>IFERROR(L237/H237*100,"")</f>
        <v/>
      </c>
      <c r="N237">
        <f>IF(M237="","",IF(M237&gt;=90,"A+",IF(M237&gt;=80,"A",IF(M237&gt;=70,"B+",IF(M237&gt;=60,"B",IF(M237&gt;=50,"C+",IF(M237&gt;=40,"C","F")))))))</f>
        <v/>
      </c>
      <c r="O237">
        <f>IF(OR(J237&lt;I237,L237&lt;I237),"FAIL","PASS")</f>
        <v/>
      </c>
    </row>
    <row r="238">
      <c r="L238">
        <f>IF(D238="","",J238+K238)</f>
        <v/>
      </c>
      <c r="M238" s="9">
        <f>IFERROR(L238/H238*100,"")</f>
        <v/>
      </c>
      <c r="N238">
        <f>IF(M238="","",IF(M238&gt;=90,"A+",IF(M238&gt;=80,"A",IF(M238&gt;=70,"B+",IF(M238&gt;=60,"B",IF(M238&gt;=50,"C+",IF(M238&gt;=40,"C","F")))))))</f>
        <v/>
      </c>
      <c r="O238">
        <f>IF(OR(J238&lt;I238,L238&lt;I238),"FAIL","PASS")</f>
        <v/>
      </c>
    </row>
    <row r="239">
      <c r="L239">
        <f>IF(D239="","",J239+K239)</f>
        <v/>
      </c>
      <c r="M239" s="9">
        <f>IFERROR(L239/H239*100,"")</f>
        <v/>
      </c>
      <c r="N239">
        <f>IF(M239="","",IF(M239&gt;=90,"A+",IF(M239&gt;=80,"A",IF(M239&gt;=70,"B+",IF(M239&gt;=60,"B",IF(M239&gt;=50,"C+",IF(M239&gt;=40,"C","F")))))))</f>
        <v/>
      </c>
      <c r="O239">
        <f>IF(OR(J239&lt;I239,L239&lt;I239),"FAIL","PASS")</f>
        <v/>
      </c>
    </row>
    <row r="240">
      <c r="L240">
        <f>IF(D240="","",J240+K240)</f>
        <v/>
      </c>
      <c r="M240" s="9">
        <f>IFERROR(L240/H240*100,"")</f>
        <v/>
      </c>
      <c r="N240">
        <f>IF(M240="","",IF(M240&gt;=90,"A+",IF(M240&gt;=80,"A",IF(M240&gt;=70,"B+",IF(M240&gt;=60,"B",IF(M240&gt;=50,"C+",IF(M240&gt;=40,"C","F")))))))</f>
        <v/>
      </c>
      <c r="O240">
        <f>IF(OR(J240&lt;I240,L240&lt;I240),"FAIL","PASS")</f>
        <v/>
      </c>
    </row>
    <row r="241">
      <c r="L241">
        <f>IF(D241="","",J241+K241)</f>
        <v/>
      </c>
      <c r="M241" s="9">
        <f>IFERROR(L241/H241*100,"")</f>
        <v/>
      </c>
      <c r="N241">
        <f>IF(M241="","",IF(M241&gt;=90,"A+",IF(M241&gt;=80,"A",IF(M241&gt;=70,"B+",IF(M241&gt;=60,"B",IF(M241&gt;=50,"C+",IF(M241&gt;=40,"C","F")))))))</f>
        <v/>
      </c>
      <c r="O241">
        <f>IF(OR(J241&lt;I241,L241&lt;I241),"FAIL","PASS")</f>
        <v/>
      </c>
    </row>
    <row r="242">
      <c r="L242">
        <f>IF(D242="","",J242+K242)</f>
        <v/>
      </c>
      <c r="M242" s="9">
        <f>IFERROR(L242/H242*100,"")</f>
        <v/>
      </c>
      <c r="N242">
        <f>IF(M242="","",IF(M242&gt;=90,"A+",IF(M242&gt;=80,"A",IF(M242&gt;=70,"B+",IF(M242&gt;=60,"B",IF(M242&gt;=50,"C+",IF(M242&gt;=40,"C","F")))))))</f>
        <v/>
      </c>
      <c r="O242">
        <f>IF(OR(J242&lt;I242,L242&lt;I242),"FAIL","PASS")</f>
        <v/>
      </c>
    </row>
    <row r="243">
      <c r="L243">
        <f>IF(D243="","",J243+K243)</f>
        <v/>
      </c>
      <c r="M243" s="9">
        <f>IFERROR(L243/H243*100,"")</f>
        <v/>
      </c>
      <c r="N243">
        <f>IF(M243="","",IF(M243&gt;=90,"A+",IF(M243&gt;=80,"A",IF(M243&gt;=70,"B+",IF(M243&gt;=60,"B",IF(M243&gt;=50,"C+",IF(M243&gt;=40,"C","F")))))))</f>
        <v/>
      </c>
      <c r="O243">
        <f>IF(OR(J243&lt;I243,L243&lt;I243),"FAIL","PASS")</f>
        <v/>
      </c>
    </row>
    <row r="244">
      <c r="L244">
        <f>IF(D244="","",J244+K244)</f>
        <v/>
      </c>
      <c r="M244" s="9">
        <f>IFERROR(L244/H244*100,"")</f>
        <v/>
      </c>
      <c r="N244">
        <f>IF(M244="","",IF(M244&gt;=90,"A+",IF(M244&gt;=80,"A",IF(M244&gt;=70,"B+",IF(M244&gt;=60,"B",IF(M244&gt;=50,"C+",IF(M244&gt;=40,"C","F")))))))</f>
        <v/>
      </c>
      <c r="O244">
        <f>IF(OR(J244&lt;I244,L244&lt;I244),"FAIL","PASS")</f>
        <v/>
      </c>
    </row>
    <row r="245">
      <c r="L245">
        <f>IF(D245="","",J245+K245)</f>
        <v/>
      </c>
      <c r="M245" s="9">
        <f>IFERROR(L245/H245*100,"")</f>
        <v/>
      </c>
      <c r="N245">
        <f>IF(M245="","",IF(M245&gt;=90,"A+",IF(M245&gt;=80,"A",IF(M245&gt;=70,"B+",IF(M245&gt;=60,"B",IF(M245&gt;=50,"C+",IF(M245&gt;=40,"C","F")))))))</f>
        <v/>
      </c>
      <c r="O245">
        <f>IF(OR(J245&lt;I245,L245&lt;I245),"FAIL","PASS")</f>
        <v/>
      </c>
    </row>
    <row r="246">
      <c r="L246">
        <f>IF(D246="","",J246+K246)</f>
        <v/>
      </c>
      <c r="M246" s="9">
        <f>IFERROR(L246/H246*100,"")</f>
        <v/>
      </c>
      <c r="N246">
        <f>IF(M246="","",IF(M246&gt;=90,"A+",IF(M246&gt;=80,"A",IF(M246&gt;=70,"B+",IF(M246&gt;=60,"B",IF(M246&gt;=50,"C+",IF(M246&gt;=40,"C","F")))))))</f>
        <v/>
      </c>
      <c r="O246">
        <f>IF(OR(J246&lt;I246,L246&lt;I246),"FAIL","PASS")</f>
        <v/>
      </c>
    </row>
    <row r="247">
      <c r="L247">
        <f>IF(D247="","",J247+K247)</f>
        <v/>
      </c>
      <c r="M247" s="9">
        <f>IFERROR(L247/H247*100,"")</f>
        <v/>
      </c>
      <c r="N247">
        <f>IF(M247="","",IF(M247&gt;=90,"A+",IF(M247&gt;=80,"A",IF(M247&gt;=70,"B+",IF(M247&gt;=60,"B",IF(M247&gt;=50,"C+",IF(M247&gt;=40,"C","F")))))))</f>
        <v/>
      </c>
      <c r="O247">
        <f>IF(OR(J247&lt;I247,L247&lt;I247),"FAIL","PASS")</f>
        <v/>
      </c>
    </row>
    <row r="248">
      <c r="L248">
        <f>IF(D248="","",J248+K248)</f>
        <v/>
      </c>
      <c r="M248" s="9">
        <f>IFERROR(L248/H248*100,"")</f>
        <v/>
      </c>
      <c r="N248">
        <f>IF(M248="","",IF(M248&gt;=90,"A+",IF(M248&gt;=80,"A",IF(M248&gt;=70,"B+",IF(M248&gt;=60,"B",IF(M248&gt;=50,"C+",IF(M248&gt;=40,"C","F")))))))</f>
        <v/>
      </c>
      <c r="O248">
        <f>IF(OR(J248&lt;I248,L248&lt;I248),"FAIL","PASS")</f>
        <v/>
      </c>
    </row>
    <row r="249">
      <c r="L249">
        <f>IF(D249="","",J249+K249)</f>
        <v/>
      </c>
      <c r="M249" s="9">
        <f>IFERROR(L249/H249*100,"")</f>
        <v/>
      </c>
      <c r="N249">
        <f>IF(M249="","",IF(M249&gt;=90,"A+",IF(M249&gt;=80,"A",IF(M249&gt;=70,"B+",IF(M249&gt;=60,"B",IF(M249&gt;=50,"C+",IF(M249&gt;=40,"C","F")))))))</f>
        <v/>
      </c>
      <c r="O249">
        <f>IF(OR(J249&lt;I249,L249&lt;I249),"FAIL","PASS")</f>
        <v/>
      </c>
    </row>
    <row r="250">
      <c r="L250">
        <f>IF(D250="","",J250+K250)</f>
        <v/>
      </c>
      <c r="M250" s="9">
        <f>IFERROR(L250/H250*100,"")</f>
        <v/>
      </c>
      <c r="N250">
        <f>IF(M250="","",IF(M250&gt;=90,"A+",IF(M250&gt;=80,"A",IF(M250&gt;=70,"B+",IF(M250&gt;=60,"B",IF(M250&gt;=50,"C+",IF(M250&gt;=40,"C","F")))))))</f>
        <v/>
      </c>
      <c r="O250">
        <f>IF(OR(J250&lt;I250,L250&lt;I250),"FAIL","PASS")</f>
        <v/>
      </c>
    </row>
    <row r="251">
      <c r="L251">
        <f>IF(D251="","",J251+K251)</f>
        <v/>
      </c>
      <c r="M251" s="9">
        <f>IFERROR(L251/H251*100,"")</f>
        <v/>
      </c>
      <c r="N251">
        <f>IF(M251="","",IF(M251&gt;=90,"A+",IF(M251&gt;=80,"A",IF(M251&gt;=70,"B+",IF(M251&gt;=60,"B",IF(M251&gt;=50,"C+",IF(M251&gt;=40,"C","F")))))))</f>
        <v/>
      </c>
      <c r="O251">
        <f>IF(OR(J251&lt;I251,L251&lt;I251),"FAIL","PASS")</f>
        <v/>
      </c>
    </row>
    <row r="252">
      <c r="L252">
        <f>IF(D252="","",J252+K252)</f>
        <v/>
      </c>
      <c r="M252" s="9">
        <f>IFERROR(L252/H252*100,"")</f>
        <v/>
      </c>
      <c r="N252">
        <f>IF(M252="","",IF(M252&gt;=90,"A+",IF(M252&gt;=80,"A",IF(M252&gt;=70,"B+",IF(M252&gt;=60,"B",IF(M252&gt;=50,"C+",IF(M252&gt;=40,"C","F")))))))</f>
        <v/>
      </c>
      <c r="O252">
        <f>IF(OR(J252&lt;I252,L252&lt;I252),"FAIL","PASS")</f>
        <v/>
      </c>
    </row>
    <row r="253">
      <c r="L253">
        <f>IF(D253="","",J253+K253)</f>
        <v/>
      </c>
      <c r="M253" s="9">
        <f>IFERROR(L253/H253*100,"")</f>
        <v/>
      </c>
      <c r="N253">
        <f>IF(M253="","",IF(M253&gt;=90,"A+",IF(M253&gt;=80,"A",IF(M253&gt;=70,"B+",IF(M253&gt;=60,"B",IF(M253&gt;=50,"C+",IF(M253&gt;=40,"C","F")))))))</f>
        <v/>
      </c>
      <c r="O253">
        <f>IF(OR(J253&lt;I253,L253&lt;I253),"FAIL","PASS")</f>
        <v/>
      </c>
    </row>
    <row r="254">
      <c r="L254">
        <f>IF(D254="","",J254+K254)</f>
        <v/>
      </c>
      <c r="M254" s="9">
        <f>IFERROR(L254/H254*100,"")</f>
        <v/>
      </c>
      <c r="N254">
        <f>IF(M254="","",IF(M254&gt;=90,"A+",IF(M254&gt;=80,"A",IF(M254&gt;=70,"B+",IF(M254&gt;=60,"B",IF(M254&gt;=50,"C+",IF(M254&gt;=40,"C","F")))))))</f>
        <v/>
      </c>
      <c r="O254">
        <f>IF(OR(J254&lt;I254,L254&lt;I254),"FAIL","PASS")</f>
        <v/>
      </c>
    </row>
    <row r="255">
      <c r="L255">
        <f>IF(D255="","",J255+K255)</f>
        <v/>
      </c>
      <c r="M255" s="9">
        <f>IFERROR(L255/H255*100,"")</f>
        <v/>
      </c>
      <c r="N255">
        <f>IF(M255="","",IF(M255&gt;=90,"A+",IF(M255&gt;=80,"A",IF(M255&gt;=70,"B+",IF(M255&gt;=60,"B",IF(M255&gt;=50,"C+",IF(M255&gt;=40,"C","F")))))))</f>
        <v/>
      </c>
      <c r="O255">
        <f>IF(OR(J255&lt;I255,L255&lt;I255),"FAIL","PASS")</f>
        <v/>
      </c>
    </row>
    <row r="256">
      <c r="L256">
        <f>IF(D256="","",J256+K256)</f>
        <v/>
      </c>
      <c r="M256" s="9">
        <f>IFERROR(L256/H256*100,"")</f>
        <v/>
      </c>
      <c r="N256">
        <f>IF(M256="","",IF(M256&gt;=90,"A+",IF(M256&gt;=80,"A",IF(M256&gt;=70,"B+",IF(M256&gt;=60,"B",IF(M256&gt;=50,"C+",IF(M256&gt;=40,"C","F")))))))</f>
        <v/>
      </c>
      <c r="O256">
        <f>IF(OR(J256&lt;I256,L256&lt;I256),"FAIL","PASS")</f>
        <v/>
      </c>
    </row>
    <row r="257">
      <c r="L257">
        <f>IF(D257="","",J257+K257)</f>
        <v/>
      </c>
      <c r="M257" s="9">
        <f>IFERROR(L257/H257*100,"")</f>
        <v/>
      </c>
      <c r="N257">
        <f>IF(M257="","",IF(M257&gt;=90,"A+",IF(M257&gt;=80,"A",IF(M257&gt;=70,"B+",IF(M257&gt;=60,"B",IF(M257&gt;=50,"C+",IF(M257&gt;=40,"C","F")))))))</f>
        <v/>
      </c>
      <c r="O257">
        <f>IF(OR(J257&lt;I257,L257&lt;I257),"FAIL","PASS")</f>
        <v/>
      </c>
    </row>
    <row r="258">
      <c r="L258">
        <f>IF(D258="","",J258+K258)</f>
        <v/>
      </c>
      <c r="M258" s="9">
        <f>IFERROR(L258/H258*100,"")</f>
        <v/>
      </c>
      <c r="N258">
        <f>IF(M258="","",IF(M258&gt;=90,"A+",IF(M258&gt;=80,"A",IF(M258&gt;=70,"B+",IF(M258&gt;=60,"B",IF(M258&gt;=50,"C+",IF(M258&gt;=40,"C","F")))))))</f>
        <v/>
      </c>
      <c r="O258">
        <f>IF(OR(J258&lt;I258,L258&lt;I258),"FAIL","PASS")</f>
        <v/>
      </c>
    </row>
    <row r="259">
      <c r="L259">
        <f>IF(D259="","",J259+K259)</f>
        <v/>
      </c>
      <c r="M259" s="9">
        <f>IFERROR(L259/H259*100,"")</f>
        <v/>
      </c>
      <c r="N259">
        <f>IF(M259="","",IF(M259&gt;=90,"A+",IF(M259&gt;=80,"A",IF(M259&gt;=70,"B+",IF(M259&gt;=60,"B",IF(M259&gt;=50,"C+",IF(M259&gt;=40,"C","F")))))))</f>
        <v/>
      </c>
      <c r="O259">
        <f>IF(OR(J259&lt;I259,L259&lt;I259),"FAIL","PASS")</f>
        <v/>
      </c>
    </row>
    <row r="260">
      <c r="L260">
        <f>IF(D260="","",J260+K260)</f>
        <v/>
      </c>
      <c r="M260" s="9">
        <f>IFERROR(L260/H260*100,"")</f>
        <v/>
      </c>
      <c r="N260">
        <f>IF(M260="","",IF(M260&gt;=90,"A+",IF(M260&gt;=80,"A",IF(M260&gt;=70,"B+",IF(M260&gt;=60,"B",IF(M260&gt;=50,"C+",IF(M260&gt;=40,"C","F")))))))</f>
        <v/>
      </c>
      <c r="O260">
        <f>IF(OR(J260&lt;I260,L260&lt;I260),"FAIL","PASS")</f>
        <v/>
      </c>
    </row>
    <row r="261">
      <c r="L261">
        <f>IF(D261="","",J261+K261)</f>
        <v/>
      </c>
      <c r="M261" s="9">
        <f>IFERROR(L261/H261*100,"")</f>
        <v/>
      </c>
      <c r="N261">
        <f>IF(M261="","",IF(M261&gt;=90,"A+",IF(M261&gt;=80,"A",IF(M261&gt;=70,"B+",IF(M261&gt;=60,"B",IF(M261&gt;=50,"C+",IF(M261&gt;=40,"C","F")))))))</f>
        <v/>
      </c>
      <c r="O261">
        <f>IF(OR(J261&lt;I261,L261&lt;I261),"FAIL","PASS")</f>
        <v/>
      </c>
    </row>
    <row r="262">
      <c r="L262">
        <f>IF(D262="","",J262+K262)</f>
        <v/>
      </c>
      <c r="M262" s="9">
        <f>IFERROR(L262/H262*100,"")</f>
        <v/>
      </c>
      <c r="N262">
        <f>IF(M262="","",IF(M262&gt;=90,"A+",IF(M262&gt;=80,"A",IF(M262&gt;=70,"B+",IF(M262&gt;=60,"B",IF(M262&gt;=50,"C+",IF(M262&gt;=40,"C","F")))))))</f>
        <v/>
      </c>
      <c r="O262">
        <f>IF(OR(J262&lt;I262,L262&lt;I262),"FAIL","PASS")</f>
        <v/>
      </c>
    </row>
    <row r="263">
      <c r="L263">
        <f>IF(D263="","",J263+K263)</f>
        <v/>
      </c>
      <c r="M263" s="9">
        <f>IFERROR(L263/H263*100,"")</f>
        <v/>
      </c>
      <c r="N263">
        <f>IF(M263="","",IF(M263&gt;=90,"A+",IF(M263&gt;=80,"A",IF(M263&gt;=70,"B+",IF(M263&gt;=60,"B",IF(M263&gt;=50,"C+",IF(M263&gt;=40,"C","F")))))))</f>
        <v/>
      </c>
      <c r="O263">
        <f>IF(OR(J263&lt;I263,L263&lt;I263),"FAIL","PASS")</f>
        <v/>
      </c>
    </row>
    <row r="264">
      <c r="L264">
        <f>IF(D264="","",J264+K264)</f>
        <v/>
      </c>
      <c r="M264" s="9">
        <f>IFERROR(L264/H264*100,"")</f>
        <v/>
      </c>
      <c r="N264">
        <f>IF(M264="","",IF(M264&gt;=90,"A+",IF(M264&gt;=80,"A",IF(M264&gt;=70,"B+",IF(M264&gt;=60,"B",IF(M264&gt;=50,"C+",IF(M264&gt;=40,"C","F")))))))</f>
        <v/>
      </c>
      <c r="O264">
        <f>IF(OR(J264&lt;I264,L264&lt;I264),"FAIL","PASS")</f>
        <v/>
      </c>
    </row>
    <row r="265">
      <c r="L265">
        <f>IF(D265="","",J265+K265)</f>
        <v/>
      </c>
      <c r="M265" s="9">
        <f>IFERROR(L265/H265*100,"")</f>
        <v/>
      </c>
      <c r="N265">
        <f>IF(M265="","",IF(M265&gt;=90,"A+",IF(M265&gt;=80,"A",IF(M265&gt;=70,"B+",IF(M265&gt;=60,"B",IF(M265&gt;=50,"C+",IF(M265&gt;=40,"C","F")))))))</f>
        <v/>
      </c>
      <c r="O265">
        <f>IF(OR(J265&lt;I265,L265&lt;I265),"FAIL","PASS")</f>
        <v/>
      </c>
    </row>
    <row r="266">
      <c r="L266">
        <f>IF(D266="","",J266+K266)</f>
        <v/>
      </c>
      <c r="M266" s="9">
        <f>IFERROR(L266/H266*100,"")</f>
        <v/>
      </c>
      <c r="N266">
        <f>IF(M266="","",IF(M266&gt;=90,"A+",IF(M266&gt;=80,"A",IF(M266&gt;=70,"B+",IF(M266&gt;=60,"B",IF(M266&gt;=50,"C+",IF(M266&gt;=40,"C","F")))))))</f>
        <v/>
      </c>
      <c r="O266">
        <f>IF(OR(J266&lt;I266,L266&lt;I266),"FAIL","PASS")</f>
        <v/>
      </c>
    </row>
    <row r="267">
      <c r="L267">
        <f>IF(D267="","",J267+K267)</f>
        <v/>
      </c>
      <c r="M267" s="9">
        <f>IFERROR(L267/H267*100,"")</f>
        <v/>
      </c>
      <c r="N267">
        <f>IF(M267="","",IF(M267&gt;=90,"A+",IF(M267&gt;=80,"A",IF(M267&gt;=70,"B+",IF(M267&gt;=60,"B",IF(M267&gt;=50,"C+",IF(M267&gt;=40,"C","F")))))))</f>
        <v/>
      </c>
      <c r="O267">
        <f>IF(OR(J267&lt;I267,L267&lt;I267),"FAIL","PASS")</f>
        <v/>
      </c>
    </row>
    <row r="268">
      <c r="L268">
        <f>IF(D268="","",J268+K268)</f>
        <v/>
      </c>
      <c r="M268" s="9">
        <f>IFERROR(L268/H268*100,"")</f>
        <v/>
      </c>
      <c r="N268">
        <f>IF(M268="","",IF(M268&gt;=90,"A+",IF(M268&gt;=80,"A",IF(M268&gt;=70,"B+",IF(M268&gt;=60,"B",IF(M268&gt;=50,"C+",IF(M268&gt;=40,"C","F")))))))</f>
        <v/>
      </c>
      <c r="O268">
        <f>IF(OR(J268&lt;I268,L268&lt;I268),"FAIL","PASS")</f>
        <v/>
      </c>
    </row>
    <row r="269">
      <c r="L269">
        <f>IF(D269="","",J269+K269)</f>
        <v/>
      </c>
      <c r="M269" s="9">
        <f>IFERROR(L269/H269*100,"")</f>
        <v/>
      </c>
      <c r="N269">
        <f>IF(M269="","",IF(M269&gt;=90,"A+",IF(M269&gt;=80,"A",IF(M269&gt;=70,"B+",IF(M269&gt;=60,"B",IF(M269&gt;=50,"C+",IF(M269&gt;=40,"C","F")))))))</f>
        <v/>
      </c>
      <c r="O269">
        <f>IF(OR(J269&lt;I269,L269&lt;I269),"FAIL","PASS")</f>
        <v/>
      </c>
    </row>
    <row r="270">
      <c r="L270">
        <f>IF(D270="","",J270+K270)</f>
        <v/>
      </c>
      <c r="M270" s="9">
        <f>IFERROR(L270/H270*100,"")</f>
        <v/>
      </c>
      <c r="N270">
        <f>IF(M270="","",IF(M270&gt;=90,"A+",IF(M270&gt;=80,"A",IF(M270&gt;=70,"B+",IF(M270&gt;=60,"B",IF(M270&gt;=50,"C+",IF(M270&gt;=40,"C","F")))))))</f>
        <v/>
      </c>
      <c r="O270">
        <f>IF(OR(J270&lt;I270,L270&lt;I270),"FAIL","PASS")</f>
        <v/>
      </c>
    </row>
    <row r="271">
      <c r="L271">
        <f>IF(D271="","",J271+K271)</f>
        <v/>
      </c>
      <c r="M271" s="9">
        <f>IFERROR(L271/H271*100,"")</f>
        <v/>
      </c>
      <c r="N271">
        <f>IF(M271="","",IF(M271&gt;=90,"A+",IF(M271&gt;=80,"A",IF(M271&gt;=70,"B+",IF(M271&gt;=60,"B",IF(M271&gt;=50,"C+",IF(M271&gt;=40,"C","F")))))))</f>
        <v/>
      </c>
      <c r="O271">
        <f>IF(OR(J271&lt;I271,L271&lt;I271),"FAIL","PASS")</f>
        <v/>
      </c>
    </row>
    <row r="272">
      <c r="L272">
        <f>IF(D272="","",J272+K272)</f>
        <v/>
      </c>
      <c r="M272" s="9">
        <f>IFERROR(L272/H272*100,"")</f>
        <v/>
      </c>
      <c r="N272">
        <f>IF(M272="","",IF(M272&gt;=90,"A+",IF(M272&gt;=80,"A",IF(M272&gt;=70,"B+",IF(M272&gt;=60,"B",IF(M272&gt;=50,"C+",IF(M272&gt;=40,"C","F")))))))</f>
        <v/>
      </c>
      <c r="O272">
        <f>IF(OR(J272&lt;I272,L272&lt;I272),"FAIL","PASS")</f>
        <v/>
      </c>
    </row>
    <row r="273">
      <c r="L273">
        <f>IF(D273="","",J273+K273)</f>
        <v/>
      </c>
      <c r="M273" s="9">
        <f>IFERROR(L273/H273*100,"")</f>
        <v/>
      </c>
      <c r="N273">
        <f>IF(M273="","",IF(M273&gt;=90,"A+",IF(M273&gt;=80,"A",IF(M273&gt;=70,"B+",IF(M273&gt;=60,"B",IF(M273&gt;=50,"C+",IF(M273&gt;=40,"C","F")))))))</f>
        <v/>
      </c>
      <c r="O273">
        <f>IF(OR(J273&lt;I273,L273&lt;I273),"FAIL","PASS")</f>
        <v/>
      </c>
    </row>
    <row r="274">
      <c r="L274">
        <f>IF(D274="","",J274+K274)</f>
        <v/>
      </c>
      <c r="M274" s="9">
        <f>IFERROR(L274/H274*100,"")</f>
        <v/>
      </c>
      <c r="N274">
        <f>IF(M274="","",IF(M274&gt;=90,"A+",IF(M274&gt;=80,"A",IF(M274&gt;=70,"B+",IF(M274&gt;=60,"B",IF(M274&gt;=50,"C+",IF(M274&gt;=40,"C","F")))))))</f>
        <v/>
      </c>
      <c r="O274">
        <f>IF(OR(J274&lt;I274,L274&lt;I274),"FAIL","PASS")</f>
        <v/>
      </c>
    </row>
    <row r="275">
      <c r="L275">
        <f>IF(D275="","",J275+K275)</f>
        <v/>
      </c>
      <c r="M275" s="9">
        <f>IFERROR(L275/H275*100,"")</f>
        <v/>
      </c>
      <c r="N275">
        <f>IF(M275="","",IF(M275&gt;=90,"A+",IF(M275&gt;=80,"A",IF(M275&gt;=70,"B+",IF(M275&gt;=60,"B",IF(M275&gt;=50,"C+",IF(M275&gt;=40,"C","F")))))))</f>
        <v/>
      </c>
      <c r="O275">
        <f>IF(OR(J275&lt;I275,L275&lt;I275),"FAIL","PASS")</f>
        <v/>
      </c>
    </row>
    <row r="276">
      <c r="L276">
        <f>IF(D276="","",J276+K276)</f>
        <v/>
      </c>
      <c r="M276" s="9">
        <f>IFERROR(L276/H276*100,"")</f>
        <v/>
      </c>
      <c r="N276">
        <f>IF(M276="","",IF(M276&gt;=90,"A+",IF(M276&gt;=80,"A",IF(M276&gt;=70,"B+",IF(M276&gt;=60,"B",IF(M276&gt;=50,"C+",IF(M276&gt;=40,"C","F")))))))</f>
        <v/>
      </c>
      <c r="O276">
        <f>IF(OR(J276&lt;I276,L276&lt;I276),"FAIL","PASS")</f>
        <v/>
      </c>
    </row>
    <row r="277">
      <c r="L277">
        <f>IF(D277="","",J277+K277)</f>
        <v/>
      </c>
      <c r="M277" s="9">
        <f>IFERROR(L277/H277*100,"")</f>
        <v/>
      </c>
      <c r="N277">
        <f>IF(M277="","",IF(M277&gt;=90,"A+",IF(M277&gt;=80,"A",IF(M277&gt;=70,"B+",IF(M277&gt;=60,"B",IF(M277&gt;=50,"C+",IF(M277&gt;=40,"C","F")))))))</f>
        <v/>
      </c>
      <c r="O277">
        <f>IF(OR(J277&lt;I277,L277&lt;I277),"FAIL","PASS")</f>
        <v/>
      </c>
    </row>
    <row r="278">
      <c r="L278">
        <f>IF(D278="","",J278+K278)</f>
        <v/>
      </c>
      <c r="M278" s="9">
        <f>IFERROR(L278/H278*100,"")</f>
        <v/>
      </c>
      <c r="N278">
        <f>IF(M278="","",IF(M278&gt;=90,"A+",IF(M278&gt;=80,"A",IF(M278&gt;=70,"B+",IF(M278&gt;=60,"B",IF(M278&gt;=50,"C+",IF(M278&gt;=40,"C","F")))))))</f>
        <v/>
      </c>
      <c r="O278">
        <f>IF(OR(J278&lt;I278,L278&lt;I278),"FAIL","PASS")</f>
        <v/>
      </c>
    </row>
    <row r="279">
      <c r="L279">
        <f>IF(D279="","",J279+K279)</f>
        <v/>
      </c>
      <c r="M279" s="9">
        <f>IFERROR(L279/H279*100,"")</f>
        <v/>
      </c>
      <c r="N279">
        <f>IF(M279="","",IF(M279&gt;=90,"A+",IF(M279&gt;=80,"A",IF(M279&gt;=70,"B+",IF(M279&gt;=60,"B",IF(M279&gt;=50,"C+",IF(M279&gt;=40,"C","F")))))))</f>
        <v/>
      </c>
      <c r="O279">
        <f>IF(OR(J279&lt;I279,L279&lt;I279),"FAIL","PASS")</f>
        <v/>
      </c>
    </row>
    <row r="280">
      <c r="L280">
        <f>IF(D280="","",J280+K280)</f>
        <v/>
      </c>
      <c r="M280" s="9">
        <f>IFERROR(L280/H280*100,"")</f>
        <v/>
      </c>
      <c r="N280">
        <f>IF(M280="","",IF(M280&gt;=90,"A+",IF(M280&gt;=80,"A",IF(M280&gt;=70,"B+",IF(M280&gt;=60,"B",IF(M280&gt;=50,"C+",IF(M280&gt;=40,"C","F")))))))</f>
        <v/>
      </c>
      <c r="O280">
        <f>IF(OR(J280&lt;I280,L280&lt;I280),"FAIL","PASS")</f>
        <v/>
      </c>
    </row>
    <row r="281">
      <c r="L281">
        <f>IF(D281="","",J281+K281)</f>
        <v/>
      </c>
      <c r="M281" s="9">
        <f>IFERROR(L281/H281*100,"")</f>
        <v/>
      </c>
      <c r="N281">
        <f>IF(M281="","",IF(M281&gt;=90,"A+",IF(M281&gt;=80,"A",IF(M281&gt;=70,"B+",IF(M281&gt;=60,"B",IF(M281&gt;=50,"C+",IF(M281&gt;=40,"C","F")))))))</f>
        <v/>
      </c>
      <c r="O281">
        <f>IF(OR(J281&lt;I281,L281&lt;I281),"FAIL","PASS")</f>
        <v/>
      </c>
    </row>
    <row r="282">
      <c r="L282">
        <f>IF(D282="","",J282+K282)</f>
        <v/>
      </c>
      <c r="M282" s="9">
        <f>IFERROR(L282/H282*100,"")</f>
        <v/>
      </c>
      <c r="N282">
        <f>IF(M282="","",IF(M282&gt;=90,"A+",IF(M282&gt;=80,"A",IF(M282&gt;=70,"B+",IF(M282&gt;=60,"B",IF(M282&gt;=50,"C+",IF(M282&gt;=40,"C","F")))))))</f>
        <v/>
      </c>
      <c r="O282">
        <f>IF(OR(J282&lt;I282,L282&lt;I282),"FAIL","PASS")</f>
        <v/>
      </c>
    </row>
    <row r="283">
      <c r="L283">
        <f>IF(D283="","",J283+K283)</f>
        <v/>
      </c>
      <c r="M283" s="9">
        <f>IFERROR(L283/H283*100,"")</f>
        <v/>
      </c>
      <c r="N283">
        <f>IF(M283="","",IF(M283&gt;=90,"A+",IF(M283&gt;=80,"A",IF(M283&gt;=70,"B+",IF(M283&gt;=60,"B",IF(M283&gt;=50,"C+",IF(M283&gt;=40,"C","F")))))))</f>
        <v/>
      </c>
      <c r="O283">
        <f>IF(OR(J283&lt;I283,L283&lt;I283),"FAIL","PASS")</f>
        <v/>
      </c>
    </row>
    <row r="284">
      <c r="L284">
        <f>IF(D284="","",J284+K284)</f>
        <v/>
      </c>
      <c r="M284" s="9">
        <f>IFERROR(L284/H284*100,"")</f>
        <v/>
      </c>
      <c r="N284">
        <f>IF(M284="","",IF(M284&gt;=90,"A+",IF(M284&gt;=80,"A",IF(M284&gt;=70,"B+",IF(M284&gt;=60,"B",IF(M284&gt;=50,"C+",IF(M284&gt;=40,"C","F")))))))</f>
        <v/>
      </c>
      <c r="O284">
        <f>IF(OR(J284&lt;I284,L284&lt;I284),"FAIL","PASS")</f>
        <v/>
      </c>
    </row>
    <row r="285">
      <c r="L285">
        <f>IF(D285="","",J285+K285)</f>
        <v/>
      </c>
      <c r="M285" s="9">
        <f>IFERROR(L285/H285*100,"")</f>
        <v/>
      </c>
      <c r="N285">
        <f>IF(M285="","",IF(M285&gt;=90,"A+",IF(M285&gt;=80,"A",IF(M285&gt;=70,"B+",IF(M285&gt;=60,"B",IF(M285&gt;=50,"C+",IF(M285&gt;=40,"C","F")))))))</f>
        <v/>
      </c>
      <c r="O285">
        <f>IF(OR(J285&lt;I285,L285&lt;I285),"FAIL","PASS")</f>
        <v/>
      </c>
    </row>
    <row r="286">
      <c r="L286">
        <f>IF(D286="","",J286+K286)</f>
        <v/>
      </c>
      <c r="M286" s="9">
        <f>IFERROR(L286/H286*100,"")</f>
        <v/>
      </c>
      <c r="N286">
        <f>IF(M286="","",IF(M286&gt;=90,"A+",IF(M286&gt;=80,"A",IF(M286&gt;=70,"B+",IF(M286&gt;=60,"B",IF(M286&gt;=50,"C+",IF(M286&gt;=40,"C","F")))))))</f>
        <v/>
      </c>
      <c r="O286">
        <f>IF(OR(J286&lt;I286,L286&lt;I286),"FAIL","PASS")</f>
        <v/>
      </c>
    </row>
    <row r="287">
      <c r="L287">
        <f>IF(D287="","",J287+K287)</f>
        <v/>
      </c>
      <c r="M287" s="9">
        <f>IFERROR(L287/H287*100,"")</f>
        <v/>
      </c>
      <c r="N287">
        <f>IF(M287="","",IF(M287&gt;=90,"A+",IF(M287&gt;=80,"A",IF(M287&gt;=70,"B+",IF(M287&gt;=60,"B",IF(M287&gt;=50,"C+",IF(M287&gt;=40,"C","F")))))))</f>
        <v/>
      </c>
      <c r="O287">
        <f>IF(OR(J287&lt;I287,L287&lt;I287),"FAIL","PASS")</f>
        <v/>
      </c>
    </row>
    <row r="288">
      <c r="L288">
        <f>IF(D288="","",J288+K288)</f>
        <v/>
      </c>
      <c r="M288" s="9">
        <f>IFERROR(L288/H288*100,"")</f>
        <v/>
      </c>
      <c r="N288">
        <f>IF(M288="","",IF(M288&gt;=90,"A+",IF(M288&gt;=80,"A",IF(M288&gt;=70,"B+",IF(M288&gt;=60,"B",IF(M288&gt;=50,"C+",IF(M288&gt;=40,"C","F")))))))</f>
        <v/>
      </c>
      <c r="O288">
        <f>IF(OR(J288&lt;I288,L288&lt;I288),"FAIL","PASS")</f>
        <v/>
      </c>
    </row>
    <row r="289">
      <c r="L289">
        <f>IF(D289="","",J289+K289)</f>
        <v/>
      </c>
      <c r="M289" s="9">
        <f>IFERROR(L289/H289*100,"")</f>
        <v/>
      </c>
      <c r="N289">
        <f>IF(M289="","",IF(M289&gt;=90,"A+",IF(M289&gt;=80,"A",IF(M289&gt;=70,"B+",IF(M289&gt;=60,"B",IF(M289&gt;=50,"C+",IF(M289&gt;=40,"C","F")))))))</f>
        <v/>
      </c>
      <c r="O289">
        <f>IF(OR(J289&lt;I289,L289&lt;I289),"FAIL","PASS")</f>
        <v/>
      </c>
    </row>
    <row r="290">
      <c r="L290">
        <f>IF(D290="","",J290+K290)</f>
        <v/>
      </c>
      <c r="M290" s="9">
        <f>IFERROR(L290/H290*100,"")</f>
        <v/>
      </c>
      <c r="N290">
        <f>IF(M290="","",IF(M290&gt;=90,"A+",IF(M290&gt;=80,"A",IF(M290&gt;=70,"B+",IF(M290&gt;=60,"B",IF(M290&gt;=50,"C+",IF(M290&gt;=40,"C","F")))))))</f>
        <v/>
      </c>
      <c r="O290">
        <f>IF(OR(J290&lt;I290,L290&lt;I290),"FAIL","PASS")</f>
        <v/>
      </c>
    </row>
    <row r="291">
      <c r="L291">
        <f>IF(D291="","",J291+K291)</f>
        <v/>
      </c>
      <c r="M291" s="9">
        <f>IFERROR(L291/H291*100,"")</f>
        <v/>
      </c>
      <c r="N291">
        <f>IF(M291="","",IF(M291&gt;=90,"A+",IF(M291&gt;=80,"A",IF(M291&gt;=70,"B+",IF(M291&gt;=60,"B",IF(M291&gt;=50,"C+",IF(M291&gt;=40,"C","F")))))))</f>
        <v/>
      </c>
      <c r="O291">
        <f>IF(OR(J291&lt;I291,L291&lt;I291),"FAIL","PASS")</f>
        <v/>
      </c>
    </row>
    <row r="292">
      <c r="L292">
        <f>IF(D292="","",J292+K292)</f>
        <v/>
      </c>
      <c r="M292" s="9">
        <f>IFERROR(L292/H292*100,"")</f>
        <v/>
      </c>
      <c r="N292">
        <f>IF(M292="","",IF(M292&gt;=90,"A+",IF(M292&gt;=80,"A",IF(M292&gt;=70,"B+",IF(M292&gt;=60,"B",IF(M292&gt;=50,"C+",IF(M292&gt;=40,"C","F")))))))</f>
        <v/>
      </c>
      <c r="O292">
        <f>IF(OR(J292&lt;I292,L292&lt;I292),"FAIL","PASS")</f>
        <v/>
      </c>
    </row>
    <row r="293">
      <c r="L293">
        <f>IF(D293="","",J293+K293)</f>
        <v/>
      </c>
      <c r="M293" s="9">
        <f>IFERROR(L293/H293*100,"")</f>
        <v/>
      </c>
      <c r="N293">
        <f>IF(M293="","",IF(M293&gt;=90,"A+",IF(M293&gt;=80,"A",IF(M293&gt;=70,"B+",IF(M293&gt;=60,"B",IF(M293&gt;=50,"C+",IF(M293&gt;=40,"C","F")))))))</f>
        <v/>
      </c>
      <c r="O293">
        <f>IF(OR(J293&lt;I293,L293&lt;I293),"FAIL","PASS")</f>
        <v/>
      </c>
    </row>
    <row r="294">
      <c r="L294">
        <f>IF(D294="","",J294+K294)</f>
        <v/>
      </c>
      <c r="M294" s="9">
        <f>IFERROR(L294/H294*100,"")</f>
        <v/>
      </c>
      <c r="N294">
        <f>IF(M294="","",IF(M294&gt;=90,"A+",IF(M294&gt;=80,"A",IF(M294&gt;=70,"B+",IF(M294&gt;=60,"B",IF(M294&gt;=50,"C+",IF(M294&gt;=40,"C","F")))))))</f>
        <v/>
      </c>
      <c r="O294">
        <f>IF(OR(J294&lt;I294,L294&lt;I294),"FAIL","PASS")</f>
        <v/>
      </c>
    </row>
    <row r="295">
      <c r="L295">
        <f>IF(D295="","",J295+K295)</f>
        <v/>
      </c>
      <c r="M295" s="9">
        <f>IFERROR(L295/H295*100,"")</f>
        <v/>
      </c>
      <c r="N295">
        <f>IF(M295="","",IF(M295&gt;=90,"A+",IF(M295&gt;=80,"A",IF(M295&gt;=70,"B+",IF(M295&gt;=60,"B",IF(M295&gt;=50,"C+",IF(M295&gt;=40,"C","F")))))))</f>
        <v/>
      </c>
      <c r="O295">
        <f>IF(OR(J295&lt;I295,L295&lt;I295),"FAIL","PASS")</f>
        <v/>
      </c>
    </row>
    <row r="296">
      <c r="L296">
        <f>IF(D296="","",J296+K296)</f>
        <v/>
      </c>
      <c r="M296" s="9">
        <f>IFERROR(L296/H296*100,"")</f>
        <v/>
      </c>
      <c r="N296">
        <f>IF(M296="","",IF(M296&gt;=90,"A+",IF(M296&gt;=80,"A",IF(M296&gt;=70,"B+",IF(M296&gt;=60,"B",IF(M296&gt;=50,"C+",IF(M296&gt;=40,"C","F")))))))</f>
        <v/>
      </c>
      <c r="O296">
        <f>IF(OR(J296&lt;I296,L296&lt;I296),"FAIL","PASS")</f>
        <v/>
      </c>
    </row>
    <row r="297">
      <c r="L297">
        <f>IF(D297="","",J297+K297)</f>
        <v/>
      </c>
      <c r="M297" s="9">
        <f>IFERROR(L297/H297*100,"")</f>
        <v/>
      </c>
      <c r="N297">
        <f>IF(M297="","",IF(M297&gt;=90,"A+",IF(M297&gt;=80,"A",IF(M297&gt;=70,"B+",IF(M297&gt;=60,"B",IF(M297&gt;=50,"C+",IF(M297&gt;=40,"C","F")))))))</f>
        <v/>
      </c>
      <c r="O297">
        <f>IF(OR(J297&lt;I297,L297&lt;I297),"FAIL","PASS")</f>
        <v/>
      </c>
    </row>
    <row r="298">
      <c r="L298">
        <f>IF(D298="","",J298+K298)</f>
        <v/>
      </c>
      <c r="M298" s="9">
        <f>IFERROR(L298/H298*100,"")</f>
        <v/>
      </c>
      <c r="N298">
        <f>IF(M298="","",IF(M298&gt;=90,"A+",IF(M298&gt;=80,"A",IF(M298&gt;=70,"B+",IF(M298&gt;=60,"B",IF(M298&gt;=50,"C+",IF(M298&gt;=40,"C","F")))))))</f>
        <v/>
      </c>
      <c r="O298">
        <f>IF(OR(J298&lt;I298,L298&lt;I298),"FAIL","PASS")</f>
        <v/>
      </c>
    </row>
    <row r="299">
      <c r="L299">
        <f>IF(D299="","",J299+K299)</f>
        <v/>
      </c>
      <c r="M299" s="9">
        <f>IFERROR(L299/H299*100,"")</f>
        <v/>
      </c>
      <c r="N299">
        <f>IF(M299="","",IF(M299&gt;=90,"A+",IF(M299&gt;=80,"A",IF(M299&gt;=70,"B+",IF(M299&gt;=60,"B",IF(M299&gt;=50,"C+",IF(M299&gt;=40,"C","F")))))))</f>
        <v/>
      </c>
      <c r="O299">
        <f>IF(OR(J299&lt;I299,L299&lt;I299),"FAIL","PASS")</f>
        <v/>
      </c>
    </row>
    <row r="300">
      <c r="L300">
        <f>IF(D300="","",J300+K300)</f>
        <v/>
      </c>
      <c r="M300" s="9">
        <f>IFERROR(L300/H300*100,"")</f>
        <v/>
      </c>
      <c r="N300">
        <f>IF(M300="","",IF(M300&gt;=90,"A+",IF(M300&gt;=80,"A",IF(M300&gt;=70,"B+",IF(M300&gt;=60,"B",IF(M300&gt;=50,"C+",IF(M300&gt;=40,"C","F")))))))</f>
        <v/>
      </c>
      <c r="O300">
        <f>IF(OR(J300&lt;I300,L300&lt;I300),"FAIL","PASS")</f>
        <v/>
      </c>
    </row>
    <row r="301">
      <c r="L301">
        <f>IF(D301="","",J301+K301)</f>
        <v/>
      </c>
      <c r="M301" s="9">
        <f>IFERROR(L301/H301*100,"")</f>
        <v/>
      </c>
      <c r="N301">
        <f>IF(M301="","",IF(M301&gt;=90,"A+",IF(M301&gt;=80,"A",IF(M301&gt;=70,"B+",IF(M301&gt;=60,"B",IF(M301&gt;=50,"C+",IF(M301&gt;=40,"C","F")))))))</f>
        <v/>
      </c>
      <c r="O301">
        <f>IF(OR(J301&lt;I301,L301&lt;I301),"FAIL","PASS")</f>
        <v/>
      </c>
    </row>
    <row r="302">
      <c r="L302">
        <f>IF(D302="","",J302+K302)</f>
        <v/>
      </c>
      <c r="M302" s="9">
        <f>IFERROR(L302/H302*100,"")</f>
        <v/>
      </c>
      <c r="N302">
        <f>IF(M302="","",IF(M302&gt;=90,"A+",IF(M302&gt;=80,"A",IF(M302&gt;=70,"B+",IF(M302&gt;=60,"B",IF(M302&gt;=50,"C+",IF(M302&gt;=40,"C","F")))))))</f>
        <v/>
      </c>
      <c r="O302">
        <f>IF(OR(J302&lt;I302,L302&lt;I302),"FAIL","PASS")</f>
        <v/>
      </c>
    </row>
    <row r="303">
      <c r="L303">
        <f>IF(D303="","",J303+K303)</f>
        <v/>
      </c>
      <c r="M303" s="9">
        <f>IFERROR(L303/H303*100,"")</f>
        <v/>
      </c>
      <c r="N303">
        <f>IF(M303="","",IF(M303&gt;=90,"A+",IF(M303&gt;=80,"A",IF(M303&gt;=70,"B+",IF(M303&gt;=60,"B",IF(M303&gt;=50,"C+",IF(M303&gt;=40,"C","F")))))))</f>
        <v/>
      </c>
      <c r="O303">
        <f>IF(OR(J303&lt;I303,L303&lt;I303),"FAIL","PASS")</f>
        <v/>
      </c>
    </row>
    <row r="304">
      <c r="L304">
        <f>IF(D304="","",J304+K304)</f>
        <v/>
      </c>
      <c r="M304" s="9">
        <f>IFERROR(L304/H304*100,"")</f>
        <v/>
      </c>
      <c r="N304">
        <f>IF(M304="","",IF(M304&gt;=90,"A+",IF(M304&gt;=80,"A",IF(M304&gt;=70,"B+",IF(M304&gt;=60,"B",IF(M304&gt;=50,"C+",IF(M304&gt;=40,"C","F")))))))</f>
        <v/>
      </c>
      <c r="O304">
        <f>IF(OR(J304&lt;I304,L304&lt;I304),"FAIL","PASS")</f>
        <v/>
      </c>
    </row>
    <row r="305">
      <c r="L305">
        <f>IF(D305="","",J305+K305)</f>
        <v/>
      </c>
      <c r="M305" s="9">
        <f>IFERROR(L305/H305*100,"")</f>
        <v/>
      </c>
      <c r="N305">
        <f>IF(M305="","",IF(M305&gt;=90,"A+",IF(M305&gt;=80,"A",IF(M305&gt;=70,"B+",IF(M305&gt;=60,"B",IF(M305&gt;=50,"C+",IF(M305&gt;=40,"C","F")))))))</f>
        <v/>
      </c>
      <c r="O305">
        <f>IF(OR(J305&lt;I305,L305&lt;I305),"FAIL","PASS")</f>
        <v/>
      </c>
    </row>
    <row r="306">
      <c r="L306">
        <f>IF(D306="","",J306+K306)</f>
        <v/>
      </c>
      <c r="M306" s="9">
        <f>IFERROR(L306/H306*100,"")</f>
        <v/>
      </c>
      <c r="N306">
        <f>IF(M306="","",IF(M306&gt;=90,"A+",IF(M306&gt;=80,"A",IF(M306&gt;=70,"B+",IF(M306&gt;=60,"B",IF(M306&gt;=50,"C+",IF(M306&gt;=40,"C","F")))))))</f>
        <v/>
      </c>
      <c r="O306">
        <f>IF(OR(J306&lt;I306,L306&lt;I306),"FAIL","PASS")</f>
        <v/>
      </c>
    </row>
    <row r="307">
      <c r="L307">
        <f>IF(D307="","",J307+K307)</f>
        <v/>
      </c>
      <c r="M307" s="9">
        <f>IFERROR(L307/H307*100,"")</f>
        <v/>
      </c>
      <c r="N307">
        <f>IF(M307="","",IF(M307&gt;=90,"A+",IF(M307&gt;=80,"A",IF(M307&gt;=70,"B+",IF(M307&gt;=60,"B",IF(M307&gt;=50,"C+",IF(M307&gt;=40,"C","F")))))))</f>
        <v/>
      </c>
      <c r="O307">
        <f>IF(OR(J307&lt;I307,L307&lt;I307),"FAIL","PASS")</f>
        <v/>
      </c>
    </row>
    <row r="308">
      <c r="L308">
        <f>IF(D308="","",J308+K308)</f>
        <v/>
      </c>
      <c r="M308" s="9">
        <f>IFERROR(L308/H308*100,"")</f>
        <v/>
      </c>
      <c r="N308">
        <f>IF(M308="","",IF(M308&gt;=90,"A+",IF(M308&gt;=80,"A",IF(M308&gt;=70,"B+",IF(M308&gt;=60,"B",IF(M308&gt;=50,"C+",IF(M308&gt;=40,"C","F")))))))</f>
        <v/>
      </c>
      <c r="O308">
        <f>IF(OR(J308&lt;I308,L308&lt;I308),"FAIL","PASS")</f>
        <v/>
      </c>
    </row>
    <row r="309">
      <c r="L309">
        <f>IF(D309="","",J309+K309)</f>
        <v/>
      </c>
      <c r="M309" s="9">
        <f>IFERROR(L309/H309*100,"")</f>
        <v/>
      </c>
      <c r="N309">
        <f>IF(M309="","",IF(M309&gt;=90,"A+",IF(M309&gt;=80,"A",IF(M309&gt;=70,"B+",IF(M309&gt;=60,"B",IF(M309&gt;=50,"C+",IF(M309&gt;=40,"C","F")))))))</f>
        <v/>
      </c>
      <c r="O309">
        <f>IF(OR(J309&lt;I309,L309&lt;I309),"FAIL","PASS")</f>
        <v/>
      </c>
    </row>
    <row r="310">
      <c r="L310">
        <f>IF(D310="","",J310+K310)</f>
        <v/>
      </c>
      <c r="M310" s="9">
        <f>IFERROR(L310/H310*100,"")</f>
        <v/>
      </c>
      <c r="N310">
        <f>IF(M310="","",IF(M310&gt;=90,"A+",IF(M310&gt;=80,"A",IF(M310&gt;=70,"B+",IF(M310&gt;=60,"B",IF(M310&gt;=50,"C+",IF(M310&gt;=40,"C","F")))))))</f>
        <v/>
      </c>
      <c r="O310">
        <f>IF(OR(J310&lt;I310,L310&lt;I310),"FAIL","PASS")</f>
        <v/>
      </c>
    </row>
    <row r="311">
      <c r="L311">
        <f>IF(D311="","",J311+K311)</f>
        <v/>
      </c>
      <c r="M311" s="9">
        <f>IFERROR(L311/H311*100,"")</f>
        <v/>
      </c>
      <c r="N311">
        <f>IF(M311="","",IF(M311&gt;=90,"A+",IF(M311&gt;=80,"A",IF(M311&gt;=70,"B+",IF(M311&gt;=60,"B",IF(M311&gt;=50,"C+",IF(M311&gt;=40,"C","F")))))))</f>
        <v/>
      </c>
      <c r="O311">
        <f>IF(OR(J311&lt;I311,L311&lt;I311),"FAIL","PASS")</f>
        <v/>
      </c>
    </row>
    <row r="312">
      <c r="L312">
        <f>IF(D312="","",J312+K312)</f>
        <v/>
      </c>
      <c r="M312" s="9">
        <f>IFERROR(L312/H312*100,"")</f>
        <v/>
      </c>
      <c r="N312">
        <f>IF(M312="","",IF(M312&gt;=90,"A+",IF(M312&gt;=80,"A",IF(M312&gt;=70,"B+",IF(M312&gt;=60,"B",IF(M312&gt;=50,"C+",IF(M312&gt;=40,"C","F")))))))</f>
        <v/>
      </c>
      <c r="O312">
        <f>IF(OR(J312&lt;I312,L312&lt;I312),"FAIL","PASS")</f>
        <v/>
      </c>
    </row>
    <row r="313">
      <c r="L313">
        <f>IF(D313="","",J313+K313)</f>
        <v/>
      </c>
      <c r="M313" s="9">
        <f>IFERROR(L313/H313*100,"")</f>
        <v/>
      </c>
      <c r="N313">
        <f>IF(M313="","",IF(M313&gt;=90,"A+",IF(M313&gt;=80,"A",IF(M313&gt;=70,"B+",IF(M313&gt;=60,"B",IF(M313&gt;=50,"C+",IF(M313&gt;=40,"C","F")))))))</f>
        <v/>
      </c>
      <c r="O313">
        <f>IF(OR(J313&lt;I313,L313&lt;I313),"FAIL","PASS")</f>
        <v/>
      </c>
    </row>
    <row r="314">
      <c r="L314">
        <f>IF(D314="","",J314+K314)</f>
        <v/>
      </c>
      <c r="M314" s="9">
        <f>IFERROR(L314/H314*100,"")</f>
        <v/>
      </c>
      <c r="N314">
        <f>IF(M314="","",IF(M314&gt;=90,"A+",IF(M314&gt;=80,"A",IF(M314&gt;=70,"B+",IF(M314&gt;=60,"B",IF(M314&gt;=50,"C+",IF(M314&gt;=40,"C","F")))))))</f>
        <v/>
      </c>
      <c r="O314">
        <f>IF(OR(J314&lt;I314,L314&lt;I314),"FAIL","PASS")</f>
        <v/>
      </c>
    </row>
    <row r="315">
      <c r="L315">
        <f>IF(D315="","",J315+K315)</f>
        <v/>
      </c>
      <c r="M315" s="9">
        <f>IFERROR(L315/H315*100,"")</f>
        <v/>
      </c>
      <c r="N315">
        <f>IF(M315="","",IF(M315&gt;=90,"A+",IF(M315&gt;=80,"A",IF(M315&gt;=70,"B+",IF(M315&gt;=60,"B",IF(M315&gt;=50,"C+",IF(M315&gt;=40,"C","F")))))))</f>
        <v/>
      </c>
      <c r="O315">
        <f>IF(OR(J315&lt;I315,L315&lt;I315),"FAIL","PASS")</f>
        <v/>
      </c>
    </row>
    <row r="316">
      <c r="L316">
        <f>IF(D316="","",J316+K316)</f>
        <v/>
      </c>
      <c r="M316" s="9">
        <f>IFERROR(L316/H316*100,"")</f>
        <v/>
      </c>
      <c r="N316">
        <f>IF(M316="","",IF(M316&gt;=90,"A+",IF(M316&gt;=80,"A",IF(M316&gt;=70,"B+",IF(M316&gt;=60,"B",IF(M316&gt;=50,"C+",IF(M316&gt;=40,"C","F")))))))</f>
        <v/>
      </c>
      <c r="O316">
        <f>IF(OR(J316&lt;I316,L316&lt;I316),"FAIL","PASS")</f>
        <v/>
      </c>
    </row>
    <row r="317">
      <c r="L317">
        <f>IF(D317="","",J317+K317)</f>
        <v/>
      </c>
      <c r="M317" s="9">
        <f>IFERROR(L317/H317*100,"")</f>
        <v/>
      </c>
      <c r="N317">
        <f>IF(M317="","",IF(M317&gt;=90,"A+",IF(M317&gt;=80,"A",IF(M317&gt;=70,"B+",IF(M317&gt;=60,"B",IF(M317&gt;=50,"C+",IF(M317&gt;=40,"C","F")))))))</f>
        <v/>
      </c>
      <c r="O317">
        <f>IF(OR(J317&lt;I317,L317&lt;I317),"FAIL","PASS")</f>
        <v/>
      </c>
    </row>
    <row r="318">
      <c r="L318">
        <f>IF(D318="","",J318+K318)</f>
        <v/>
      </c>
      <c r="M318" s="9">
        <f>IFERROR(L318/H318*100,"")</f>
        <v/>
      </c>
      <c r="N318">
        <f>IF(M318="","",IF(M318&gt;=90,"A+",IF(M318&gt;=80,"A",IF(M318&gt;=70,"B+",IF(M318&gt;=60,"B",IF(M318&gt;=50,"C+",IF(M318&gt;=40,"C","F")))))))</f>
        <v/>
      </c>
      <c r="O318">
        <f>IF(OR(J318&lt;I318,L318&lt;I318),"FAIL","PASS")</f>
        <v/>
      </c>
    </row>
    <row r="319">
      <c r="L319">
        <f>IF(D319="","",J319+K319)</f>
        <v/>
      </c>
      <c r="M319" s="9">
        <f>IFERROR(L319/H319*100,"")</f>
        <v/>
      </c>
      <c r="N319">
        <f>IF(M319="","",IF(M319&gt;=90,"A+",IF(M319&gt;=80,"A",IF(M319&gt;=70,"B+",IF(M319&gt;=60,"B",IF(M319&gt;=50,"C+",IF(M319&gt;=40,"C","F")))))))</f>
        <v/>
      </c>
      <c r="O319">
        <f>IF(OR(J319&lt;I319,L319&lt;I319),"FAIL","PASS")</f>
        <v/>
      </c>
    </row>
    <row r="320">
      <c r="L320">
        <f>IF(D320="","",J320+K320)</f>
        <v/>
      </c>
      <c r="M320" s="9">
        <f>IFERROR(L320/H320*100,"")</f>
        <v/>
      </c>
      <c r="N320">
        <f>IF(M320="","",IF(M320&gt;=90,"A+",IF(M320&gt;=80,"A",IF(M320&gt;=70,"B+",IF(M320&gt;=60,"B",IF(M320&gt;=50,"C+",IF(M320&gt;=40,"C","F")))))))</f>
        <v/>
      </c>
      <c r="O320">
        <f>IF(OR(J320&lt;I320,L320&lt;I320),"FAIL","PASS")</f>
        <v/>
      </c>
    </row>
    <row r="321">
      <c r="L321">
        <f>IF(D321="","",J321+K321)</f>
        <v/>
      </c>
      <c r="M321" s="9">
        <f>IFERROR(L321/H321*100,"")</f>
        <v/>
      </c>
      <c r="N321">
        <f>IF(M321="","",IF(M321&gt;=90,"A+",IF(M321&gt;=80,"A",IF(M321&gt;=70,"B+",IF(M321&gt;=60,"B",IF(M321&gt;=50,"C+",IF(M321&gt;=40,"C","F")))))))</f>
        <v/>
      </c>
      <c r="O321">
        <f>IF(OR(J321&lt;I321,L321&lt;I321),"FAIL","PASS")</f>
        <v/>
      </c>
    </row>
    <row r="322">
      <c r="L322">
        <f>IF(D322="","",J322+K322)</f>
        <v/>
      </c>
      <c r="M322" s="9">
        <f>IFERROR(L322/H322*100,"")</f>
        <v/>
      </c>
      <c r="N322">
        <f>IF(M322="","",IF(M322&gt;=90,"A+",IF(M322&gt;=80,"A",IF(M322&gt;=70,"B+",IF(M322&gt;=60,"B",IF(M322&gt;=50,"C+",IF(M322&gt;=40,"C","F")))))))</f>
        <v/>
      </c>
      <c r="O322">
        <f>IF(OR(J322&lt;I322,L322&lt;I322),"FAIL","PASS")</f>
        <v/>
      </c>
    </row>
    <row r="323">
      <c r="L323">
        <f>IF(D323="","",J323+K323)</f>
        <v/>
      </c>
      <c r="M323" s="9">
        <f>IFERROR(L323/H323*100,"")</f>
        <v/>
      </c>
      <c r="N323">
        <f>IF(M323="","",IF(M323&gt;=90,"A+",IF(M323&gt;=80,"A",IF(M323&gt;=70,"B+",IF(M323&gt;=60,"B",IF(M323&gt;=50,"C+",IF(M323&gt;=40,"C","F")))))))</f>
        <v/>
      </c>
      <c r="O323">
        <f>IF(OR(J323&lt;I323,L323&lt;I323),"FAIL","PASS")</f>
        <v/>
      </c>
    </row>
    <row r="324">
      <c r="L324">
        <f>IF(D324="","",J324+K324)</f>
        <v/>
      </c>
      <c r="M324" s="9">
        <f>IFERROR(L324/H324*100,"")</f>
        <v/>
      </c>
      <c r="N324">
        <f>IF(M324="","",IF(M324&gt;=90,"A+",IF(M324&gt;=80,"A",IF(M324&gt;=70,"B+",IF(M324&gt;=60,"B",IF(M324&gt;=50,"C+",IF(M324&gt;=40,"C","F")))))))</f>
        <v/>
      </c>
      <c r="O324">
        <f>IF(OR(J324&lt;I324,L324&lt;I324),"FAIL","PASS")</f>
        <v/>
      </c>
    </row>
    <row r="325">
      <c r="L325">
        <f>IF(D325="","",J325+K325)</f>
        <v/>
      </c>
      <c r="M325" s="9">
        <f>IFERROR(L325/H325*100,"")</f>
        <v/>
      </c>
      <c r="N325">
        <f>IF(M325="","",IF(M325&gt;=90,"A+",IF(M325&gt;=80,"A",IF(M325&gt;=70,"B+",IF(M325&gt;=60,"B",IF(M325&gt;=50,"C+",IF(M325&gt;=40,"C","F")))))))</f>
        <v/>
      </c>
      <c r="O325">
        <f>IF(OR(J325&lt;I325,L325&lt;I325),"FAIL","PASS")</f>
        <v/>
      </c>
    </row>
    <row r="326">
      <c r="L326">
        <f>IF(D326="","",J326+K326)</f>
        <v/>
      </c>
      <c r="M326" s="9">
        <f>IFERROR(L326/H326*100,"")</f>
        <v/>
      </c>
      <c r="N326">
        <f>IF(M326="","",IF(M326&gt;=90,"A+",IF(M326&gt;=80,"A",IF(M326&gt;=70,"B+",IF(M326&gt;=60,"B",IF(M326&gt;=50,"C+",IF(M326&gt;=40,"C","F")))))))</f>
        <v/>
      </c>
      <c r="O326">
        <f>IF(OR(J326&lt;I326,L326&lt;I326),"FAIL","PASS")</f>
        <v/>
      </c>
    </row>
    <row r="327">
      <c r="L327">
        <f>IF(D327="","",J327+K327)</f>
        <v/>
      </c>
      <c r="M327" s="9">
        <f>IFERROR(L327/H327*100,"")</f>
        <v/>
      </c>
      <c r="N327">
        <f>IF(M327="","",IF(M327&gt;=90,"A+",IF(M327&gt;=80,"A",IF(M327&gt;=70,"B+",IF(M327&gt;=60,"B",IF(M327&gt;=50,"C+",IF(M327&gt;=40,"C","F")))))))</f>
        <v/>
      </c>
      <c r="O327">
        <f>IF(OR(J327&lt;I327,L327&lt;I327),"FAIL","PASS")</f>
        <v/>
      </c>
    </row>
    <row r="328">
      <c r="L328">
        <f>IF(D328="","",J328+K328)</f>
        <v/>
      </c>
      <c r="M328" s="9">
        <f>IFERROR(L328/H328*100,"")</f>
        <v/>
      </c>
      <c r="N328">
        <f>IF(M328="","",IF(M328&gt;=90,"A+",IF(M328&gt;=80,"A",IF(M328&gt;=70,"B+",IF(M328&gt;=60,"B",IF(M328&gt;=50,"C+",IF(M328&gt;=40,"C","F")))))))</f>
        <v/>
      </c>
      <c r="O328">
        <f>IF(OR(J328&lt;I328,L328&lt;I328),"FAIL","PASS")</f>
        <v/>
      </c>
    </row>
    <row r="329">
      <c r="L329">
        <f>IF(D329="","",J329+K329)</f>
        <v/>
      </c>
      <c r="M329" s="9">
        <f>IFERROR(L329/H329*100,"")</f>
        <v/>
      </c>
      <c r="N329">
        <f>IF(M329="","",IF(M329&gt;=90,"A+",IF(M329&gt;=80,"A",IF(M329&gt;=70,"B+",IF(M329&gt;=60,"B",IF(M329&gt;=50,"C+",IF(M329&gt;=40,"C","F")))))))</f>
        <v/>
      </c>
      <c r="O329">
        <f>IF(OR(J329&lt;I329,L329&lt;I329),"FAIL","PASS")</f>
        <v/>
      </c>
    </row>
    <row r="330">
      <c r="L330">
        <f>IF(D330="","",J330+K330)</f>
        <v/>
      </c>
      <c r="M330" s="9">
        <f>IFERROR(L330/H330*100,"")</f>
        <v/>
      </c>
      <c r="N330">
        <f>IF(M330="","",IF(M330&gt;=90,"A+",IF(M330&gt;=80,"A",IF(M330&gt;=70,"B+",IF(M330&gt;=60,"B",IF(M330&gt;=50,"C+",IF(M330&gt;=40,"C","F")))))))</f>
        <v/>
      </c>
      <c r="O330">
        <f>IF(OR(J330&lt;I330,L330&lt;I330),"FAIL","PASS")</f>
        <v/>
      </c>
    </row>
    <row r="331">
      <c r="L331">
        <f>IF(D331="","",J331+K331)</f>
        <v/>
      </c>
      <c r="M331" s="9">
        <f>IFERROR(L331/H331*100,"")</f>
        <v/>
      </c>
      <c r="N331">
        <f>IF(M331="","",IF(M331&gt;=90,"A+",IF(M331&gt;=80,"A",IF(M331&gt;=70,"B+",IF(M331&gt;=60,"B",IF(M331&gt;=50,"C+",IF(M331&gt;=40,"C","F")))))))</f>
        <v/>
      </c>
      <c r="O331">
        <f>IF(OR(J331&lt;I331,L331&lt;I331),"FAIL","PASS")</f>
        <v/>
      </c>
    </row>
    <row r="332">
      <c r="L332">
        <f>IF(D332="","",J332+K332)</f>
        <v/>
      </c>
      <c r="M332" s="9">
        <f>IFERROR(L332/H332*100,"")</f>
        <v/>
      </c>
      <c r="N332">
        <f>IF(M332="","",IF(M332&gt;=90,"A+",IF(M332&gt;=80,"A",IF(M332&gt;=70,"B+",IF(M332&gt;=60,"B",IF(M332&gt;=50,"C+",IF(M332&gt;=40,"C","F")))))))</f>
        <v/>
      </c>
      <c r="O332">
        <f>IF(OR(J332&lt;I332,L332&lt;I332),"FAIL","PASS")</f>
        <v/>
      </c>
    </row>
    <row r="333">
      <c r="L333">
        <f>IF(D333="","",J333+K333)</f>
        <v/>
      </c>
      <c r="M333" s="9">
        <f>IFERROR(L333/H333*100,"")</f>
        <v/>
      </c>
      <c r="N333">
        <f>IF(M333="","",IF(M333&gt;=90,"A+",IF(M333&gt;=80,"A",IF(M333&gt;=70,"B+",IF(M333&gt;=60,"B",IF(M333&gt;=50,"C+",IF(M333&gt;=40,"C","F")))))))</f>
        <v/>
      </c>
      <c r="O333">
        <f>IF(OR(J333&lt;I333,L333&lt;I333),"FAIL","PASS")</f>
        <v/>
      </c>
    </row>
    <row r="334">
      <c r="L334">
        <f>IF(D334="","",J334+K334)</f>
        <v/>
      </c>
      <c r="M334" s="9">
        <f>IFERROR(L334/H334*100,"")</f>
        <v/>
      </c>
      <c r="N334">
        <f>IF(M334="","",IF(M334&gt;=90,"A+",IF(M334&gt;=80,"A",IF(M334&gt;=70,"B+",IF(M334&gt;=60,"B",IF(M334&gt;=50,"C+",IF(M334&gt;=40,"C","F")))))))</f>
        <v/>
      </c>
      <c r="O334">
        <f>IF(OR(J334&lt;I334,L334&lt;I334),"FAIL","PASS")</f>
        <v/>
      </c>
    </row>
    <row r="335">
      <c r="L335">
        <f>IF(D335="","",J335+K335)</f>
        <v/>
      </c>
      <c r="M335" s="9">
        <f>IFERROR(L335/H335*100,"")</f>
        <v/>
      </c>
      <c r="N335">
        <f>IF(M335="","",IF(M335&gt;=90,"A+",IF(M335&gt;=80,"A",IF(M335&gt;=70,"B+",IF(M335&gt;=60,"B",IF(M335&gt;=50,"C+",IF(M335&gt;=40,"C","F")))))))</f>
        <v/>
      </c>
      <c r="O335">
        <f>IF(OR(J335&lt;I335,L335&lt;I335),"FAIL","PASS")</f>
        <v/>
      </c>
    </row>
    <row r="336">
      <c r="L336">
        <f>IF(D336="","",J336+K336)</f>
        <v/>
      </c>
      <c r="M336" s="9">
        <f>IFERROR(L336/H336*100,"")</f>
        <v/>
      </c>
      <c r="N336">
        <f>IF(M336="","",IF(M336&gt;=90,"A+",IF(M336&gt;=80,"A",IF(M336&gt;=70,"B+",IF(M336&gt;=60,"B",IF(M336&gt;=50,"C+",IF(M336&gt;=40,"C","F")))))))</f>
        <v/>
      </c>
      <c r="O336">
        <f>IF(OR(J336&lt;I336,L336&lt;I336),"FAIL","PASS")</f>
        <v/>
      </c>
    </row>
    <row r="337">
      <c r="L337">
        <f>IF(D337="","",J337+K337)</f>
        <v/>
      </c>
      <c r="M337" s="9">
        <f>IFERROR(L337/H337*100,"")</f>
        <v/>
      </c>
      <c r="N337">
        <f>IF(M337="","",IF(M337&gt;=90,"A+",IF(M337&gt;=80,"A",IF(M337&gt;=70,"B+",IF(M337&gt;=60,"B",IF(M337&gt;=50,"C+",IF(M337&gt;=40,"C","F")))))))</f>
        <v/>
      </c>
      <c r="O337">
        <f>IF(OR(J337&lt;I337,L337&lt;I337),"FAIL","PASS")</f>
        <v/>
      </c>
    </row>
    <row r="338">
      <c r="L338">
        <f>IF(D338="","",J338+K338)</f>
        <v/>
      </c>
      <c r="M338" s="9">
        <f>IFERROR(L338/H338*100,"")</f>
        <v/>
      </c>
      <c r="N338">
        <f>IF(M338="","",IF(M338&gt;=90,"A+",IF(M338&gt;=80,"A",IF(M338&gt;=70,"B+",IF(M338&gt;=60,"B",IF(M338&gt;=50,"C+",IF(M338&gt;=40,"C","F")))))))</f>
        <v/>
      </c>
      <c r="O338">
        <f>IF(OR(J338&lt;I338,L338&lt;I338),"FAIL","PASS")</f>
        <v/>
      </c>
    </row>
    <row r="339">
      <c r="L339">
        <f>IF(D339="","",J339+K339)</f>
        <v/>
      </c>
      <c r="M339" s="9">
        <f>IFERROR(L339/H339*100,"")</f>
        <v/>
      </c>
      <c r="N339">
        <f>IF(M339="","",IF(M339&gt;=90,"A+",IF(M339&gt;=80,"A",IF(M339&gt;=70,"B+",IF(M339&gt;=60,"B",IF(M339&gt;=50,"C+",IF(M339&gt;=40,"C","F")))))))</f>
        <v/>
      </c>
      <c r="O339">
        <f>IF(OR(J339&lt;I339,L339&lt;I339),"FAIL","PASS")</f>
        <v/>
      </c>
    </row>
    <row r="340">
      <c r="L340">
        <f>IF(D340="","",J340+K340)</f>
        <v/>
      </c>
      <c r="M340" s="9">
        <f>IFERROR(L340/H340*100,"")</f>
        <v/>
      </c>
      <c r="N340">
        <f>IF(M340="","",IF(M340&gt;=90,"A+",IF(M340&gt;=80,"A",IF(M340&gt;=70,"B+",IF(M340&gt;=60,"B",IF(M340&gt;=50,"C+",IF(M340&gt;=40,"C","F")))))))</f>
        <v/>
      </c>
      <c r="O340">
        <f>IF(OR(J340&lt;I340,L340&lt;I340),"FAIL","PASS")</f>
        <v/>
      </c>
    </row>
    <row r="341">
      <c r="L341">
        <f>IF(D341="","",J341+K341)</f>
        <v/>
      </c>
      <c r="M341" s="9">
        <f>IFERROR(L341/H341*100,"")</f>
        <v/>
      </c>
      <c r="N341">
        <f>IF(M341="","",IF(M341&gt;=90,"A+",IF(M341&gt;=80,"A",IF(M341&gt;=70,"B+",IF(M341&gt;=60,"B",IF(M341&gt;=50,"C+",IF(M341&gt;=40,"C","F")))))))</f>
        <v/>
      </c>
      <c r="O341">
        <f>IF(OR(J341&lt;I341,L341&lt;I341),"FAIL","PASS")</f>
        <v/>
      </c>
    </row>
    <row r="342">
      <c r="L342">
        <f>IF(D342="","",J342+K342)</f>
        <v/>
      </c>
      <c r="M342" s="9">
        <f>IFERROR(L342/H342*100,"")</f>
        <v/>
      </c>
      <c r="N342">
        <f>IF(M342="","",IF(M342&gt;=90,"A+",IF(M342&gt;=80,"A",IF(M342&gt;=70,"B+",IF(M342&gt;=60,"B",IF(M342&gt;=50,"C+",IF(M342&gt;=40,"C","F")))))))</f>
        <v/>
      </c>
      <c r="O342">
        <f>IF(OR(J342&lt;I342,L342&lt;I342),"FAIL","PASS")</f>
        <v/>
      </c>
    </row>
    <row r="343">
      <c r="L343">
        <f>IF(D343="","",J343+K343)</f>
        <v/>
      </c>
      <c r="M343" s="9">
        <f>IFERROR(L343/H343*100,"")</f>
        <v/>
      </c>
      <c r="N343">
        <f>IF(M343="","",IF(M343&gt;=90,"A+",IF(M343&gt;=80,"A",IF(M343&gt;=70,"B+",IF(M343&gt;=60,"B",IF(M343&gt;=50,"C+",IF(M343&gt;=40,"C","F")))))))</f>
        <v/>
      </c>
      <c r="O343">
        <f>IF(OR(J343&lt;I343,L343&lt;I343),"FAIL","PASS")</f>
        <v/>
      </c>
    </row>
    <row r="344">
      <c r="L344">
        <f>IF(D344="","",J344+K344)</f>
        <v/>
      </c>
      <c r="M344" s="9">
        <f>IFERROR(L344/H344*100,"")</f>
        <v/>
      </c>
      <c r="N344">
        <f>IF(M344="","",IF(M344&gt;=90,"A+",IF(M344&gt;=80,"A",IF(M344&gt;=70,"B+",IF(M344&gt;=60,"B",IF(M344&gt;=50,"C+",IF(M344&gt;=40,"C","F")))))))</f>
        <v/>
      </c>
      <c r="O344">
        <f>IF(OR(J344&lt;I344,L344&lt;I344),"FAIL","PASS")</f>
        <v/>
      </c>
    </row>
    <row r="345">
      <c r="L345">
        <f>IF(D345="","",J345+K345)</f>
        <v/>
      </c>
      <c r="M345" s="9">
        <f>IFERROR(L345/H345*100,"")</f>
        <v/>
      </c>
      <c r="N345">
        <f>IF(M345="","",IF(M345&gt;=90,"A+",IF(M345&gt;=80,"A",IF(M345&gt;=70,"B+",IF(M345&gt;=60,"B",IF(M345&gt;=50,"C+",IF(M345&gt;=40,"C","F")))))))</f>
        <v/>
      </c>
      <c r="O345">
        <f>IF(OR(J345&lt;I345,L345&lt;I345),"FAIL","PASS")</f>
        <v/>
      </c>
    </row>
    <row r="346">
      <c r="L346">
        <f>IF(D346="","",J346+K346)</f>
        <v/>
      </c>
      <c r="M346" s="9">
        <f>IFERROR(L346/H346*100,"")</f>
        <v/>
      </c>
      <c r="N346">
        <f>IF(M346="","",IF(M346&gt;=90,"A+",IF(M346&gt;=80,"A",IF(M346&gt;=70,"B+",IF(M346&gt;=60,"B",IF(M346&gt;=50,"C+",IF(M346&gt;=40,"C","F")))))))</f>
        <v/>
      </c>
      <c r="O346">
        <f>IF(OR(J346&lt;I346,L346&lt;I346),"FAIL","PASS")</f>
        <v/>
      </c>
    </row>
    <row r="347">
      <c r="L347">
        <f>IF(D347="","",J347+K347)</f>
        <v/>
      </c>
      <c r="M347" s="9">
        <f>IFERROR(L347/H347*100,"")</f>
        <v/>
      </c>
      <c r="N347">
        <f>IF(M347="","",IF(M347&gt;=90,"A+",IF(M347&gt;=80,"A",IF(M347&gt;=70,"B+",IF(M347&gt;=60,"B",IF(M347&gt;=50,"C+",IF(M347&gt;=40,"C","F")))))))</f>
        <v/>
      </c>
      <c r="O347">
        <f>IF(OR(J347&lt;I347,L347&lt;I347),"FAIL","PASS")</f>
        <v/>
      </c>
    </row>
    <row r="348">
      <c r="L348">
        <f>IF(D348="","",J348+K348)</f>
        <v/>
      </c>
      <c r="M348" s="9">
        <f>IFERROR(L348/H348*100,"")</f>
        <v/>
      </c>
      <c r="N348">
        <f>IF(M348="","",IF(M348&gt;=90,"A+",IF(M348&gt;=80,"A",IF(M348&gt;=70,"B+",IF(M348&gt;=60,"B",IF(M348&gt;=50,"C+",IF(M348&gt;=40,"C","F")))))))</f>
        <v/>
      </c>
      <c r="O348">
        <f>IF(OR(J348&lt;I348,L348&lt;I348),"FAIL","PASS")</f>
        <v/>
      </c>
    </row>
    <row r="349">
      <c r="L349">
        <f>IF(D349="","",J349+K349)</f>
        <v/>
      </c>
      <c r="M349" s="9">
        <f>IFERROR(L349/H349*100,"")</f>
        <v/>
      </c>
      <c r="N349">
        <f>IF(M349="","",IF(M349&gt;=90,"A+",IF(M349&gt;=80,"A",IF(M349&gt;=70,"B+",IF(M349&gt;=60,"B",IF(M349&gt;=50,"C+",IF(M349&gt;=40,"C","F")))))))</f>
        <v/>
      </c>
      <c r="O349">
        <f>IF(OR(J349&lt;I349,L349&lt;I349),"FAIL","PASS")</f>
        <v/>
      </c>
    </row>
    <row r="350">
      <c r="L350">
        <f>IF(D350="","",J350+K350)</f>
        <v/>
      </c>
      <c r="M350" s="9">
        <f>IFERROR(L350/H350*100,"")</f>
        <v/>
      </c>
      <c r="N350">
        <f>IF(M350="","",IF(M350&gt;=90,"A+",IF(M350&gt;=80,"A",IF(M350&gt;=70,"B+",IF(M350&gt;=60,"B",IF(M350&gt;=50,"C+",IF(M350&gt;=40,"C","F")))))))</f>
        <v/>
      </c>
      <c r="O350">
        <f>IF(OR(J350&lt;I350,L350&lt;I350),"FAIL","PASS")</f>
        <v/>
      </c>
    </row>
    <row r="351">
      <c r="L351">
        <f>IF(D351="","",J351+K351)</f>
        <v/>
      </c>
      <c r="M351" s="9">
        <f>IFERROR(L351/H351*100,"")</f>
        <v/>
      </c>
      <c r="N351">
        <f>IF(M351="","",IF(M351&gt;=90,"A+",IF(M351&gt;=80,"A",IF(M351&gt;=70,"B+",IF(M351&gt;=60,"B",IF(M351&gt;=50,"C+",IF(M351&gt;=40,"C","F")))))))</f>
        <v/>
      </c>
      <c r="O351">
        <f>IF(OR(J351&lt;I351,L351&lt;I351),"FAIL","PASS")</f>
        <v/>
      </c>
    </row>
    <row r="352">
      <c r="L352">
        <f>IF(D352="","",J352+K352)</f>
        <v/>
      </c>
      <c r="M352" s="9">
        <f>IFERROR(L352/H352*100,"")</f>
        <v/>
      </c>
      <c r="N352">
        <f>IF(M352="","",IF(M352&gt;=90,"A+",IF(M352&gt;=80,"A",IF(M352&gt;=70,"B+",IF(M352&gt;=60,"B",IF(M352&gt;=50,"C+",IF(M352&gt;=40,"C","F")))))))</f>
        <v/>
      </c>
      <c r="O352">
        <f>IF(OR(J352&lt;I352,L352&lt;I352),"FAIL","PASS")</f>
        <v/>
      </c>
    </row>
    <row r="353">
      <c r="L353">
        <f>IF(D353="","",J353+K353)</f>
        <v/>
      </c>
      <c r="M353" s="9">
        <f>IFERROR(L353/H353*100,"")</f>
        <v/>
      </c>
      <c r="N353">
        <f>IF(M353="","",IF(M353&gt;=90,"A+",IF(M353&gt;=80,"A",IF(M353&gt;=70,"B+",IF(M353&gt;=60,"B",IF(M353&gt;=50,"C+",IF(M353&gt;=40,"C","F")))))))</f>
        <v/>
      </c>
      <c r="O353">
        <f>IF(OR(J353&lt;I353,L353&lt;I353),"FAIL","PASS")</f>
        <v/>
      </c>
    </row>
    <row r="354">
      <c r="L354">
        <f>IF(D354="","",J354+K354)</f>
        <v/>
      </c>
      <c r="M354" s="9">
        <f>IFERROR(L354/H354*100,"")</f>
        <v/>
      </c>
      <c r="N354">
        <f>IF(M354="","",IF(M354&gt;=90,"A+",IF(M354&gt;=80,"A",IF(M354&gt;=70,"B+",IF(M354&gt;=60,"B",IF(M354&gt;=50,"C+",IF(M354&gt;=40,"C","F")))))))</f>
        <v/>
      </c>
      <c r="O354">
        <f>IF(OR(J354&lt;I354,L354&lt;I354),"FAIL","PASS")</f>
        <v/>
      </c>
    </row>
    <row r="355">
      <c r="L355">
        <f>IF(D355="","",J355+K355)</f>
        <v/>
      </c>
      <c r="M355" s="9">
        <f>IFERROR(L355/H355*100,"")</f>
        <v/>
      </c>
      <c r="N355">
        <f>IF(M355="","",IF(M355&gt;=90,"A+",IF(M355&gt;=80,"A",IF(M355&gt;=70,"B+",IF(M355&gt;=60,"B",IF(M355&gt;=50,"C+",IF(M355&gt;=40,"C","F")))))))</f>
        <v/>
      </c>
      <c r="O355">
        <f>IF(OR(J355&lt;I355,L355&lt;I355),"FAIL","PASS")</f>
        <v/>
      </c>
    </row>
    <row r="356">
      <c r="L356">
        <f>IF(D356="","",J356+K356)</f>
        <v/>
      </c>
      <c r="M356" s="9">
        <f>IFERROR(L356/H356*100,"")</f>
        <v/>
      </c>
      <c r="N356">
        <f>IF(M356="","",IF(M356&gt;=90,"A+",IF(M356&gt;=80,"A",IF(M356&gt;=70,"B+",IF(M356&gt;=60,"B",IF(M356&gt;=50,"C+",IF(M356&gt;=40,"C","F")))))))</f>
        <v/>
      </c>
      <c r="O356">
        <f>IF(OR(J356&lt;I356,L356&lt;I356),"FAIL","PASS")</f>
        <v/>
      </c>
    </row>
    <row r="357">
      <c r="L357">
        <f>IF(D357="","",J357+K357)</f>
        <v/>
      </c>
      <c r="M357" s="9">
        <f>IFERROR(L357/H357*100,"")</f>
        <v/>
      </c>
      <c r="N357">
        <f>IF(M357="","",IF(M357&gt;=90,"A+",IF(M357&gt;=80,"A",IF(M357&gt;=70,"B+",IF(M357&gt;=60,"B",IF(M357&gt;=50,"C+",IF(M357&gt;=40,"C","F")))))))</f>
        <v/>
      </c>
      <c r="O357">
        <f>IF(OR(J357&lt;I357,L357&lt;I357),"FAIL","PASS")</f>
        <v/>
      </c>
    </row>
    <row r="358">
      <c r="L358">
        <f>IF(D358="","",J358+K358)</f>
        <v/>
      </c>
      <c r="M358" s="9">
        <f>IFERROR(L358/H358*100,"")</f>
        <v/>
      </c>
      <c r="N358">
        <f>IF(M358="","",IF(M358&gt;=90,"A+",IF(M358&gt;=80,"A",IF(M358&gt;=70,"B+",IF(M358&gt;=60,"B",IF(M358&gt;=50,"C+",IF(M358&gt;=40,"C","F")))))))</f>
        <v/>
      </c>
      <c r="O358">
        <f>IF(OR(J358&lt;I358,L358&lt;I358),"FAIL","PASS")</f>
        <v/>
      </c>
    </row>
    <row r="359">
      <c r="L359">
        <f>IF(D359="","",J359+K359)</f>
        <v/>
      </c>
      <c r="M359" s="9">
        <f>IFERROR(L359/H359*100,"")</f>
        <v/>
      </c>
      <c r="N359">
        <f>IF(M359="","",IF(M359&gt;=90,"A+",IF(M359&gt;=80,"A",IF(M359&gt;=70,"B+",IF(M359&gt;=60,"B",IF(M359&gt;=50,"C+",IF(M359&gt;=40,"C","F")))))))</f>
        <v/>
      </c>
      <c r="O359">
        <f>IF(OR(J359&lt;I359,L359&lt;I359),"FAIL","PASS")</f>
        <v/>
      </c>
    </row>
    <row r="360">
      <c r="L360">
        <f>IF(D360="","",J360+K360)</f>
        <v/>
      </c>
      <c r="M360" s="9">
        <f>IFERROR(L360/H360*100,"")</f>
        <v/>
      </c>
      <c r="N360">
        <f>IF(M360="","",IF(M360&gt;=90,"A+",IF(M360&gt;=80,"A",IF(M360&gt;=70,"B+",IF(M360&gt;=60,"B",IF(M360&gt;=50,"C+",IF(M360&gt;=40,"C","F")))))))</f>
        <v/>
      </c>
      <c r="O360">
        <f>IF(OR(J360&lt;I360,L360&lt;I360),"FAIL","PASS")</f>
        <v/>
      </c>
    </row>
    <row r="361">
      <c r="L361">
        <f>IF(D361="","",J361+K361)</f>
        <v/>
      </c>
      <c r="M361" s="9">
        <f>IFERROR(L361/H361*100,"")</f>
        <v/>
      </c>
      <c r="N361">
        <f>IF(M361="","",IF(M361&gt;=90,"A+",IF(M361&gt;=80,"A",IF(M361&gt;=70,"B+",IF(M361&gt;=60,"B",IF(M361&gt;=50,"C+",IF(M361&gt;=40,"C","F")))))))</f>
        <v/>
      </c>
      <c r="O361">
        <f>IF(OR(J361&lt;I361,L361&lt;I361),"FAIL","PASS")</f>
        <v/>
      </c>
    </row>
    <row r="362">
      <c r="L362">
        <f>IF(D362="","",J362+K362)</f>
        <v/>
      </c>
      <c r="M362" s="9">
        <f>IFERROR(L362/H362*100,"")</f>
        <v/>
      </c>
      <c r="N362">
        <f>IF(M362="","",IF(M362&gt;=90,"A+",IF(M362&gt;=80,"A",IF(M362&gt;=70,"B+",IF(M362&gt;=60,"B",IF(M362&gt;=50,"C+",IF(M362&gt;=40,"C","F")))))))</f>
        <v/>
      </c>
      <c r="O362">
        <f>IF(OR(J362&lt;I362,L362&lt;I362),"FAIL","PASS")</f>
        <v/>
      </c>
    </row>
    <row r="363">
      <c r="L363">
        <f>IF(D363="","",J363+K363)</f>
        <v/>
      </c>
      <c r="M363" s="9">
        <f>IFERROR(L363/H363*100,"")</f>
        <v/>
      </c>
      <c r="N363">
        <f>IF(M363="","",IF(M363&gt;=90,"A+",IF(M363&gt;=80,"A",IF(M363&gt;=70,"B+",IF(M363&gt;=60,"B",IF(M363&gt;=50,"C+",IF(M363&gt;=40,"C","F")))))))</f>
        <v/>
      </c>
      <c r="O363">
        <f>IF(OR(J363&lt;I363,L363&lt;I363),"FAIL","PASS")</f>
        <v/>
      </c>
    </row>
    <row r="364">
      <c r="L364">
        <f>IF(D364="","",J364+K364)</f>
        <v/>
      </c>
      <c r="M364" s="9">
        <f>IFERROR(L364/H364*100,"")</f>
        <v/>
      </c>
      <c r="N364">
        <f>IF(M364="","",IF(M364&gt;=90,"A+",IF(M364&gt;=80,"A",IF(M364&gt;=70,"B+",IF(M364&gt;=60,"B",IF(M364&gt;=50,"C+",IF(M364&gt;=40,"C","F")))))))</f>
        <v/>
      </c>
      <c r="O364">
        <f>IF(OR(J364&lt;I364,L364&lt;I364),"FAIL","PASS")</f>
        <v/>
      </c>
    </row>
    <row r="365">
      <c r="L365">
        <f>IF(D365="","",J365+K365)</f>
        <v/>
      </c>
      <c r="M365" s="9">
        <f>IFERROR(L365/H365*100,"")</f>
        <v/>
      </c>
      <c r="N365">
        <f>IF(M365="","",IF(M365&gt;=90,"A+",IF(M365&gt;=80,"A",IF(M365&gt;=70,"B+",IF(M365&gt;=60,"B",IF(M365&gt;=50,"C+",IF(M365&gt;=40,"C","F")))))))</f>
        <v/>
      </c>
      <c r="O365">
        <f>IF(OR(J365&lt;I365,L365&lt;I365),"FAIL","PASS")</f>
        <v/>
      </c>
    </row>
    <row r="366">
      <c r="L366">
        <f>IF(D366="","",J366+K366)</f>
        <v/>
      </c>
      <c r="M366" s="9">
        <f>IFERROR(L366/H366*100,"")</f>
        <v/>
      </c>
      <c r="N366">
        <f>IF(M366="","",IF(M366&gt;=90,"A+",IF(M366&gt;=80,"A",IF(M366&gt;=70,"B+",IF(M366&gt;=60,"B",IF(M366&gt;=50,"C+",IF(M366&gt;=40,"C","F")))))))</f>
        <v/>
      </c>
      <c r="O366">
        <f>IF(OR(J366&lt;I366,L366&lt;I366),"FAIL","PASS")</f>
        <v/>
      </c>
    </row>
    <row r="367">
      <c r="L367">
        <f>IF(D367="","",J367+K367)</f>
        <v/>
      </c>
      <c r="M367" s="9">
        <f>IFERROR(L367/H367*100,"")</f>
        <v/>
      </c>
      <c r="N367">
        <f>IF(M367="","",IF(M367&gt;=90,"A+",IF(M367&gt;=80,"A",IF(M367&gt;=70,"B+",IF(M367&gt;=60,"B",IF(M367&gt;=50,"C+",IF(M367&gt;=40,"C","F")))))))</f>
        <v/>
      </c>
      <c r="O367">
        <f>IF(OR(J367&lt;I367,L367&lt;I367),"FAIL","PASS")</f>
        <v/>
      </c>
    </row>
    <row r="368">
      <c r="L368">
        <f>IF(D368="","",J368+K368)</f>
        <v/>
      </c>
      <c r="M368" s="9">
        <f>IFERROR(L368/H368*100,"")</f>
        <v/>
      </c>
      <c r="N368">
        <f>IF(M368="","",IF(M368&gt;=90,"A+",IF(M368&gt;=80,"A",IF(M368&gt;=70,"B+",IF(M368&gt;=60,"B",IF(M368&gt;=50,"C+",IF(M368&gt;=40,"C","F")))))))</f>
        <v/>
      </c>
      <c r="O368">
        <f>IF(OR(J368&lt;I368,L368&lt;I368),"FAIL","PASS")</f>
        <v/>
      </c>
    </row>
    <row r="369">
      <c r="L369">
        <f>IF(D369="","",J369+K369)</f>
        <v/>
      </c>
      <c r="M369" s="9">
        <f>IFERROR(L369/H369*100,"")</f>
        <v/>
      </c>
      <c r="N369">
        <f>IF(M369="","",IF(M369&gt;=90,"A+",IF(M369&gt;=80,"A",IF(M369&gt;=70,"B+",IF(M369&gt;=60,"B",IF(M369&gt;=50,"C+",IF(M369&gt;=40,"C","F")))))))</f>
        <v/>
      </c>
      <c r="O369">
        <f>IF(OR(J369&lt;I369,L369&lt;I369),"FAIL","PASS")</f>
        <v/>
      </c>
    </row>
    <row r="370">
      <c r="L370">
        <f>IF(D370="","",J370+K370)</f>
        <v/>
      </c>
      <c r="M370" s="9">
        <f>IFERROR(L370/H370*100,"")</f>
        <v/>
      </c>
      <c r="N370">
        <f>IF(M370="","",IF(M370&gt;=90,"A+",IF(M370&gt;=80,"A",IF(M370&gt;=70,"B+",IF(M370&gt;=60,"B",IF(M370&gt;=50,"C+",IF(M370&gt;=40,"C","F")))))))</f>
        <v/>
      </c>
      <c r="O370">
        <f>IF(OR(J370&lt;I370,L370&lt;I370),"FAIL","PASS")</f>
        <v/>
      </c>
    </row>
    <row r="371">
      <c r="L371">
        <f>IF(D371="","",J371+K371)</f>
        <v/>
      </c>
      <c r="M371" s="9">
        <f>IFERROR(L371/H371*100,"")</f>
        <v/>
      </c>
      <c r="N371">
        <f>IF(M371="","",IF(M371&gt;=90,"A+",IF(M371&gt;=80,"A",IF(M371&gt;=70,"B+",IF(M371&gt;=60,"B",IF(M371&gt;=50,"C+",IF(M371&gt;=40,"C","F")))))))</f>
        <v/>
      </c>
      <c r="O371">
        <f>IF(OR(J371&lt;I371,L371&lt;I371),"FAIL","PASS")</f>
        <v/>
      </c>
    </row>
    <row r="372">
      <c r="L372">
        <f>IF(D372="","",J372+K372)</f>
        <v/>
      </c>
      <c r="M372" s="9">
        <f>IFERROR(L372/H372*100,"")</f>
        <v/>
      </c>
      <c r="N372">
        <f>IF(M372="","",IF(M372&gt;=90,"A+",IF(M372&gt;=80,"A",IF(M372&gt;=70,"B+",IF(M372&gt;=60,"B",IF(M372&gt;=50,"C+",IF(M372&gt;=40,"C","F")))))))</f>
        <v/>
      </c>
      <c r="O372">
        <f>IF(OR(J372&lt;I372,L372&lt;I372),"FAIL","PASS")</f>
        <v/>
      </c>
    </row>
    <row r="373">
      <c r="L373">
        <f>IF(D373="","",J373+K373)</f>
        <v/>
      </c>
      <c r="M373" s="9">
        <f>IFERROR(L373/H373*100,"")</f>
        <v/>
      </c>
      <c r="N373">
        <f>IF(M373="","",IF(M373&gt;=90,"A+",IF(M373&gt;=80,"A",IF(M373&gt;=70,"B+",IF(M373&gt;=60,"B",IF(M373&gt;=50,"C+",IF(M373&gt;=40,"C","F")))))))</f>
        <v/>
      </c>
      <c r="O373">
        <f>IF(OR(J373&lt;I373,L373&lt;I373),"FAIL","PASS")</f>
        <v/>
      </c>
    </row>
    <row r="374">
      <c r="L374">
        <f>IF(D374="","",J374+K374)</f>
        <v/>
      </c>
      <c r="M374" s="9">
        <f>IFERROR(L374/H374*100,"")</f>
        <v/>
      </c>
      <c r="N374">
        <f>IF(M374="","",IF(M374&gt;=90,"A+",IF(M374&gt;=80,"A",IF(M374&gt;=70,"B+",IF(M374&gt;=60,"B",IF(M374&gt;=50,"C+",IF(M374&gt;=40,"C","F")))))))</f>
        <v/>
      </c>
      <c r="O374">
        <f>IF(OR(J374&lt;I374,L374&lt;I374),"FAIL","PASS")</f>
        <v/>
      </c>
    </row>
    <row r="375">
      <c r="L375">
        <f>IF(D375="","",J375+K375)</f>
        <v/>
      </c>
      <c r="M375" s="9">
        <f>IFERROR(L375/H375*100,"")</f>
        <v/>
      </c>
      <c r="N375">
        <f>IF(M375="","",IF(M375&gt;=90,"A+",IF(M375&gt;=80,"A",IF(M375&gt;=70,"B+",IF(M375&gt;=60,"B",IF(M375&gt;=50,"C+",IF(M375&gt;=40,"C","F")))))))</f>
        <v/>
      </c>
      <c r="O375">
        <f>IF(OR(J375&lt;I375,L375&lt;I375),"FAIL","PASS")</f>
        <v/>
      </c>
    </row>
    <row r="376">
      <c r="L376">
        <f>IF(D376="","",J376+K376)</f>
        <v/>
      </c>
      <c r="M376" s="9">
        <f>IFERROR(L376/H376*100,"")</f>
        <v/>
      </c>
      <c r="N376">
        <f>IF(M376="","",IF(M376&gt;=90,"A+",IF(M376&gt;=80,"A",IF(M376&gt;=70,"B+",IF(M376&gt;=60,"B",IF(M376&gt;=50,"C+",IF(M376&gt;=40,"C","F")))))))</f>
        <v/>
      </c>
      <c r="O376">
        <f>IF(OR(J376&lt;I376,L376&lt;I376),"FAIL","PASS")</f>
        <v/>
      </c>
    </row>
    <row r="377">
      <c r="L377">
        <f>IF(D377="","",J377+K377)</f>
        <v/>
      </c>
      <c r="M377" s="9">
        <f>IFERROR(L377/H377*100,"")</f>
        <v/>
      </c>
      <c r="N377">
        <f>IF(M377="","",IF(M377&gt;=90,"A+",IF(M377&gt;=80,"A",IF(M377&gt;=70,"B+",IF(M377&gt;=60,"B",IF(M377&gt;=50,"C+",IF(M377&gt;=40,"C","F")))))))</f>
        <v/>
      </c>
      <c r="O377">
        <f>IF(OR(J377&lt;I377,L377&lt;I377),"FAIL","PASS")</f>
        <v/>
      </c>
    </row>
    <row r="378">
      <c r="L378">
        <f>IF(D378="","",J378+K378)</f>
        <v/>
      </c>
      <c r="M378" s="9">
        <f>IFERROR(L378/H378*100,"")</f>
        <v/>
      </c>
      <c r="N378">
        <f>IF(M378="","",IF(M378&gt;=90,"A+",IF(M378&gt;=80,"A",IF(M378&gt;=70,"B+",IF(M378&gt;=60,"B",IF(M378&gt;=50,"C+",IF(M378&gt;=40,"C","F")))))))</f>
        <v/>
      </c>
      <c r="O378">
        <f>IF(OR(J378&lt;I378,L378&lt;I378),"FAIL","PASS")</f>
        <v/>
      </c>
    </row>
    <row r="379">
      <c r="L379">
        <f>IF(D379="","",J379+K379)</f>
        <v/>
      </c>
      <c r="M379" s="9">
        <f>IFERROR(L379/H379*100,"")</f>
        <v/>
      </c>
      <c r="N379">
        <f>IF(M379="","",IF(M379&gt;=90,"A+",IF(M379&gt;=80,"A",IF(M379&gt;=70,"B+",IF(M379&gt;=60,"B",IF(M379&gt;=50,"C+",IF(M379&gt;=40,"C","F")))))))</f>
        <v/>
      </c>
      <c r="O379">
        <f>IF(OR(J379&lt;I379,L379&lt;I379),"FAIL","PASS")</f>
        <v/>
      </c>
    </row>
    <row r="380">
      <c r="L380">
        <f>IF(D380="","",J380+K380)</f>
        <v/>
      </c>
      <c r="M380" s="9">
        <f>IFERROR(L380/H380*100,"")</f>
        <v/>
      </c>
      <c r="N380">
        <f>IF(M380="","",IF(M380&gt;=90,"A+",IF(M380&gt;=80,"A",IF(M380&gt;=70,"B+",IF(M380&gt;=60,"B",IF(M380&gt;=50,"C+",IF(M380&gt;=40,"C","F")))))))</f>
        <v/>
      </c>
      <c r="O380">
        <f>IF(OR(J380&lt;I380,L380&lt;I380),"FAIL","PASS")</f>
        <v/>
      </c>
    </row>
    <row r="381">
      <c r="L381">
        <f>IF(D381="","",J381+K381)</f>
        <v/>
      </c>
      <c r="M381" s="9">
        <f>IFERROR(L381/H381*100,"")</f>
        <v/>
      </c>
      <c r="N381">
        <f>IF(M381="","",IF(M381&gt;=90,"A+",IF(M381&gt;=80,"A",IF(M381&gt;=70,"B+",IF(M381&gt;=60,"B",IF(M381&gt;=50,"C+",IF(M381&gt;=40,"C","F")))))))</f>
        <v/>
      </c>
      <c r="O381">
        <f>IF(OR(J381&lt;I381,L381&lt;I381),"FAIL","PASS")</f>
        <v/>
      </c>
    </row>
    <row r="382">
      <c r="L382">
        <f>IF(D382="","",J382+K382)</f>
        <v/>
      </c>
      <c r="M382" s="9">
        <f>IFERROR(L382/H382*100,"")</f>
        <v/>
      </c>
      <c r="N382">
        <f>IF(M382="","",IF(M382&gt;=90,"A+",IF(M382&gt;=80,"A",IF(M382&gt;=70,"B+",IF(M382&gt;=60,"B",IF(M382&gt;=50,"C+",IF(M382&gt;=40,"C","F")))))))</f>
        <v/>
      </c>
      <c r="O382">
        <f>IF(OR(J382&lt;I382,L382&lt;I382),"FAIL","PASS")</f>
        <v/>
      </c>
    </row>
    <row r="383">
      <c r="L383">
        <f>IF(D383="","",J383+K383)</f>
        <v/>
      </c>
      <c r="M383" s="9">
        <f>IFERROR(L383/H383*100,"")</f>
        <v/>
      </c>
      <c r="N383">
        <f>IF(M383="","",IF(M383&gt;=90,"A+",IF(M383&gt;=80,"A",IF(M383&gt;=70,"B+",IF(M383&gt;=60,"B",IF(M383&gt;=50,"C+",IF(M383&gt;=40,"C","F")))))))</f>
        <v/>
      </c>
      <c r="O383">
        <f>IF(OR(J383&lt;I383,L383&lt;I383),"FAIL","PASS")</f>
        <v/>
      </c>
    </row>
    <row r="384">
      <c r="L384">
        <f>IF(D384="","",J384+K384)</f>
        <v/>
      </c>
      <c r="M384" s="9">
        <f>IFERROR(L384/H384*100,"")</f>
        <v/>
      </c>
      <c r="N384">
        <f>IF(M384="","",IF(M384&gt;=90,"A+",IF(M384&gt;=80,"A",IF(M384&gt;=70,"B+",IF(M384&gt;=60,"B",IF(M384&gt;=50,"C+",IF(M384&gt;=40,"C","F")))))))</f>
        <v/>
      </c>
      <c r="O384">
        <f>IF(OR(J384&lt;I384,L384&lt;I384),"FAIL","PASS")</f>
        <v/>
      </c>
    </row>
    <row r="385">
      <c r="L385">
        <f>IF(D385="","",J385+K385)</f>
        <v/>
      </c>
      <c r="M385" s="9">
        <f>IFERROR(L385/H385*100,"")</f>
        <v/>
      </c>
      <c r="N385">
        <f>IF(M385="","",IF(M385&gt;=90,"A+",IF(M385&gt;=80,"A",IF(M385&gt;=70,"B+",IF(M385&gt;=60,"B",IF(M385&gt;=50,"C+",IF(M385&gt;=40,"C","F")))))))</f>
        <v/>
      </c>
      <c r="O385">
        <f>IF(OR(J385&lt;I385,L385&lt;I385),"FAIL","PASS")</f>
        <v/>
      </c>
    </row>
    <row r="386">
      <c r="L386">
        <f>IF(D386="","",J386+K386)</f>
        <v/>
      </c>
      <c r="M386" s="9">
        <f>IFERROR(L386/H386*100,"")</f>
        <v/>
      </c>
      <c r="N386">
        <f>IF(M386="","",IF(M386&gt;=90,"A+",IF(M386&gt;=80,"A",IF(M386&gt;=70,"B+",IF(M386&gt;=60,"B",IF(M386&gt;=50,"C+",IF(M386&gt;=40,"C","F")))))))</f>
        <v/>
      </c>
      <c r="O386">
        <f>IF(OR(J386&lt;I386,L386&lt;I386),"FAIL","PASS")</f>
        <v/>
      </c>
    </row>
    <row r="387">
      <c r="L387">
        <f>IF(D387="","",J387+K387)</f>
        <v/>
      </c>
      <c r="M387" s="9">
        <f>IFERROR(L387/H387*100,"")</f>
        <v/>
      </c>
      <c r="N387">
        <f>IF(M387="","",IF(M387&gt;=90,"A+",IF(M387&gt;=80,"A",IF(M387&gt;=70,"B+",IF(M387&gt;=60,"B",IF(M387&gt;=50,"C+",IF(M387&gt;=40,"C","F")))))))</f>
        <v/>
      </c>
      <c r="O387">
        <f>IF(OR(J387&lt;I387,L387&lt;I387),"FAIL","PASS")</f>
        <v/>
      </c>
    </row>
    <row r="388">
      <c r="L388">
        <f>IF(D388="","",J388+K388)</f>
        <v/>
      </c>
      <c r="M388" s="9">
        <f>IFERROR(L388/H388*100,"")</f>
        <v/>
      </c>
      <c r="N388">
        <f>IF(M388="","",IF(M388&gt;=90,"A+",IF(M388&gt;=80,"A",IF(M388&gt;=70,"B+",IF(M388&gt;=60,"B",IF(M388&gt;=50,"C+",IF(M388&gt;=40,"C","F")))))))</f>
        <v/>
      </c>
      <c r="O388">
        <f>IF(OR(J388&lt;I388,L388&lt;I388),"FAIL","PASS")</f>
        <v/>
      </c>
    </row>
    <row r="389">
      <c r="L389">
        <f>IF(D389="","",J389+K389)</f>
        <v/>
      </c>
      <c r="M389" s="9">
        <f>IFERROR(L389/H389*100,"")</f>
        <v/>
      </c>
      <c r="N389">
        <f>IF(M389="","",IF(M389&gt;=90,"A+",IF(M389&gt;=80,"A",IF(M389&gt;=70,"B+",IF(M389&gt;=60,"B",IF(M389&gt;=50,"C+",IF(M389&gt;=40,"C","F")))))))</f>
        <v/>
      </c>
      <c r="O389">
        <f>IF(OR(J389&lt;I389,L389&lt;I389),"FAIL","PASS")</f>
        <v/>
      </c>
    </row>
    <row r="390">
      <c r="L390">
        <f>IF(D390="","",J390+K390)</f>
        <v/>
      </c>
      <c r="M390" s="9">
        <f>IFERROR(L390/H390*100,"")</f>
        <v/>
      </c>
      <c r="N390">
        <f>IF(M390="","",IF(M390&gt;=90,"A+",IF(M390&gt;=80,"A",IF(M390&gt;=70,"B+",IF(M390&gt;=60,"B",IF(M390&gt;=50,"C+",IF(M390&gt;=40,"C","F")))))))</f>
        <v/>
      </c>
      <c r="O390">
        <f>IF(OR(J390&lt;I390,L390&lt;I390),"FAIL","PASS")</f>
        <v/>
      </c>
    </row>
    <row r="391">
      <c r="L391">
        <f>IF(D391="","",J391+K391)</f>
        <v/>
      </c>
      <c r="M391" s="9">
        <f>IFERROR(L391/H391*100,"")</f>
        <v/>
      </c>
      <c r="N391">
        <f>IF(M391="","",IF(M391&gt;=90,"A+",IF(M391&gt;=80,"A",IF(M391&gt;=70,"B+",IF(M391&gt;=60,"B",IF(M391&gt;=50,"C+",IF(M391&gt;=40,"C","F")))))))</f>
        <v/>
      </c>
      <c r="O391">
        <f>IF(OR(J391&lt;I391,L391&lt;I391),"FAIL","PASS")</f>
        <v/>
      </c>
    </row>
    <row r="392">
      <c r="L392">
        <f>IF(D392="","",J392+K392)</f>
        <v/>
      </c>
      <c r="M392" s="9">
        <f>IFERROR(L392/H392*100,"")</f>
        <v/>
      </c>
      <c r="N392">
        <f>IF(M392="","",IF(M392&gt;=90,"A+",IF(M392&gt;=80,"A",IF(M392&gt;=70,"B+",IF(M392&gt;=60,"B",IF(M392&gt;=50,"C+",IF(M392&gt;=40,"C","F")))))))</f>
        <v/>
      </c>
      <c r="O392">
        <f>IF(OR(J392&lt;I392,L392&lt;I392),"FAIL","PASS")</f>
        <v/>
      </c>
    </row>
    <row r="393">
      <c r="L393">
        <f>IF(D393="","",J393+K393)</f>
        <v/>
      </c>
      <c r="M393" s="9">
        <f>IFERROR(L393/H393*100,"")</f>
        <v/>
      </c>
      <c r="N393">
        <f>IF(M393="","",IF(M393&gt;=90,"A+",IF(M393&gt;=80,"A",IF(M393&gt;=70,"B+",IF(M393&gt;=60,"B",IF(M393&gt;=50,"C+",IF(M393&gt;=40,"C","F")))))))</f>
        <v/>
      </c>
      <c r="O393">
        <f>IF(OR(J393&lt;I393,L393&lt;I393),"FAIL","PASS")</f>
        <v/>
      </c>
    </row>
    <row r="394">
      <c r="L394">
        <f>IF(D394="","",J394+K394)</f>
        <v/>
      </c>
      <c r="M394" s="9">
        <f>IFERROR(L394/H394*100,"")</f>
        <v/>
      </c>
      <c r="N394">
        <f>IF(M394="","",IF(M394&gt;=90,"A+",IF(M394&gt;=80,"A",IF(M394&gt;=70,"B+",IF(M394&gt;=60,"B",IF(M394&gt;=50,"C+",IF(M394&gt;=40,"C","F")))))))</f>
        <v/>
      </c>
      <c r="O394">
        <f>IF(OR(J394&lt;I394,L394&lt;I394),"FAIL","PASS")</f>
        <v/>
      </c>
    </row>
    <row r="395">
      <c r="L395">
        <f>IF(D395="","",J395+K395)</f>
        <v/>
      </c>
      <c r="M395" s="9">
        <f>IFERROR(L395/H395*100,"")</f>
        <v/>
      </c>
      <c r="N395">
        <f>IF(M395="","",IF(M395&gt;=90,"A+",IF(M395&gt;=80,"A",IF(M395&gt;=70,"B+",IF(M395&gt;=60,"B",IF(M395&gt;=50,"C+",IF(M395&gt;=40,"C","F")))))))</f>
        <v/>
      </c>
      <c r="O395">
        <f>IF(OR(J395&lt;I395,L395&lt;I395),"FAIL","PASS")</f>
        <v/>
      </c>
    </row>
    <row r="396">
      <c r="L396">
        <f>IF(D396="","",J396+K396)</f>
        <v/>
      </c>
      <c r="M396" s="9">
        <f>IFERROR(L396/H396*100,"")</f>
        <v/>
      </c>
      <c r="N396">
        <f>IF(M396="","",IF(M396&gt;=90,"A+",IF(M396&gt;=80,"A",IF(M396&gt;=70,"B+",IF(M396&gt;=60,"B",IF(M396&gt;=50,"C+",IF(M396&gt;=40,"C","F")))))))</f>
        <v/>
      </c>
      <c r="O396">
        <f>IF(OR(J396&lt;I396,L396&lt;I396),"FAIL","PASS")</f>
        <v/>
      </c>
    </row>
    <row r="397">
      <c r="L397">
        <f>IF(D397="","",J397+K397)</f>
        <v/>
      </c>
      <c r="M397" s="9">
        <f>IFERROR(L397/H397*100,"")</f>
        <v/>
      </c>
      <c r="N397">
        <f>IF(M397="","",IF(M397&gt;=90,"A+",IF(M397&gt;=80,"A",IF(M397&gt;=70,"B+",IF(M397&gt;=60,"B",IF(M397&gt;=50,"C+",IF(M397&gt;=40,"C","F")))))))</f>
        <v/>
      </c>
      <c r="O397">
        <f>IF(OR(J397&lt;I397,L397&lt;I397),"FAIL","PASS")</f>
        <v/>
      </c>
    </row>
    <row r="398">
      <c r="L398">
        <f>IF(D398="","",J398+K398)</f>
        <v/>
      </c>
      <c r="M398" s="9">
        <f>IFERROR(L398/H398*100,"")</f>
        <v/>
      </c>
      <c r="N398">
        <f>IF(M398="","",IF(M398&gt;=90,"A+",IF(M398&gt;=80,"A",IF(M398&gt;=70,"B+",IF(M398&gt;=60,"B",IF(M398&gt;=50,"C+",IF(M398&gt;=40,"C","F")))))))</f>
        <v/>
      </c>
      <c r="O398">
        <f>IF(OR(J398&lt;I398,L398&lt;I398),"FAIL","PASS")</f>
        <v/>
      </c>
    </row>
    <row r="399">
      <c r="L399">
        <f>IF(D399="","",J399+K399)</f>
        <v/>
      </c>
      <c r="M399" s="9">
        <f>IFERROR(L399/H399*100,"")</f>
        <v/>
      </c>
      <c r="N399">
        <f>IF(M399="","",IF(M399&gt;=90,"A+",IF(M399&gt;=80,"A",IF(M399&gt;=70,"B+",IF(M399&gt;=60,"B",IF(M399&gt;=50,"C+",IF(M399&gt;=40,"C","F")))))))</f>
        <v/>
      </c>
      <c r="O399">
        <f>IF(OR(J399&lt;I399,L399&lt;I399),"FAIL","PASS")</f>
        <v/>
      </c>
    </row>
    <row r="400">
      <c r="L400">
        <f>IF(D400="","",J400+K400)</f>
        <v/>
      </c>
      <c r="M400" s="9">
        <f>IFERROR(L400/H400*100,"")</f>
        <v/>
      </c>
      <c r="N400">
        <f>IF(M400="","",IF(M400&gt;=90,"A+",IF(M400&gt;=80,"A",IF(M400&gt;=70,"B+",IF(M400&gt;=60,"B",IF(M400&gt;=50,"C+",IF(M400&gt;=40,"C","F")))))))</f>
        <v/>
      </c>
      <c r="O400">
        <f>IF(OR(J400&lt;I400,L400&lt;I400),"FAIL","PASS")</f>
        <v/>
      </c>
    </row>
    <row r="401">
      <c r="L401">
        <f>IF(D401="","",J401+K401)</f>
        <v/>
      </c>
      <c r="M401" s="9">
        <f>IFERROR(L401/H401*100,"")</f>
        <v/>
      </c>
      <c r="N401">
        <f>IF(M401="","",IF(M401&gt;=90,"A+",IF(M401&gt;=80,"A",IF(M401&gt;=70,"B+",IF(M401&gt;=60,"B",IF(M401&gt;=50,"C+",IF(M401&gt;=40,"C","F")))))))</f>
        <v/>
      </c>
      <c r="O401">
        <f>IF(OR(J401&lt;I401,L401&lt;I401),"FAIL","PASS")</f>
        <v/>
      </c>
    </row>
    <row r="402">
      <c r="L402">
        <f>IF(D402="","",J402+K402)</f>
        <v/>
      </c>
      <c r="M402" s="9">
        <f>IFERROR(L402/H402*100,"")</f>
        <v/>
      </c>
      <c r="N402">
        <f>IF(M402="","",IF(M402&gt;=90,"A+",IF(M402&gt;=80,"A",IF(M402&gt;=70,"B+",IF(M402&gt;=60,"B",IF(M402&gt;=50,"C+",IF(M402&gt;=40,"C","F")))))))</f>
        <v/>
      </c>
      <c r="O402">
        <f>IF(OR(J402&lt;I402,L402&lt;I402),"FAIL","PASS")</f>
        <v/>
      </c>
    </row>
    <row r="403">
      <c r="L403">
        <f>IF(D403="","",J403+K403)</f>
        <v/>
      </c>
      <c r="M403" s="9">
        <f>IFERROR(L403/H403*100,"")</f>
        <v/>
      </c>
      <c r="N403">
        <f>IF(M403="","",IF(M403&gt;=90,"A+",IF(M403&gt;=80,"A",IF(M403&gt;=70,"B+",IF(M403&gt;=60,"B",IF(M403&gt;=50,"C+",IF(M403&gt;=40,"C","F")))))))</f>
        <v/>
      </c>
      <c r="O403">
        <f>IF(OR(J403&lt;I403,L403&lt;I403),"FAIL","PASS")</f>
        <v/>
      </c>
    </row>
    <row r="404">
      <c r="L404">
        <f>IF(D404="","",J404+K404)</f>
        <v/>
      </c>
      <c r="M404" s="9">
        <f>IFERROR(L404/H404*100,"")</f>
        <v/>
      </c>
      <c r="N404">
        <f>IF(M404="","",IF(M404&gt;=90,"A+",IF(M404&gt;=80,"A",IF(M404&gt;=70,"B+",IF(M404&gt;=60,"B",IF(M404&gt;=50,"C+",IF(M404&gt;=40,"C","F")))))))</f>
        <v/>
      </c>
      <c r="O404">
        <f>IF(OR(J404&lt;I404,L404&lt;I404),"FAIL","PASS")</f>
        <v/>
      </c>
    </row>
    <row r="405">
      <c r="L405">
        <f>IF(D405="","",J405+K405)</f>
        <v/>
      </c>
      <c r="M405" s="9">
        <f>IFERROR(L405/H405*100,"")</f>
        <v/>
      </c>
      <c r="N405">
        <f>IF(M405="","",IF(M405&gt;=90,"A+",IF(M405&gt;=80,"A",IF(M405&gt;=70,"B+",IF(M405&gt;=60,"B",IF(M405&gt;=50,"C+",IF(M405&gt;=40,"C","F")))))))</f>
        <v/>
      </c>
      <c r="O405">
        <f>IF(OR(J405&lt;I405,L405&lt;I405),"FAIL","PASS")</f>
        <v/>
      </c>
    </row>
    <row r="406">
      <c r="L406">
        <f>IF(D406="","",J406+K406)</f>
        <v/>
      </c>
      <c r="M406" s="9">
        <f>IFERROR(L406/H406*100,"")</f>
        <v/>
      </c>
      <c r="N406">
        <f>IF(M406="","",IF(M406&gt;=90,"A+",IF(M406&gt;=80,"A",IF(M406&gt;=70,"B+",IF(M406&gt;=60,"B",IF(M406&gt;=50,"C+",IF(M406&gt;=40,"C","F")))))))</f>
        <v/>
      </c>
      <c r="O406">
        <f>IF(OR(J406&lt;I406,L406&lt;I406),"FAIL","PASS")</f>
        <v/>
      </c>
    </row>
    <row r="407">
      <c r="L407">
        <f>IF(D407="","",J407+K407)</f>
        <v/>
      </c>
      <c r="M407" s="9">
        <f>IFERROR(L407/H407*100,"")</f>
        <v/>
      </c>
      <c r="N407">
        <f>IF(M407="","",IF(M407&gt;=90,"A+",IF(M407&gt;=80,"A",IF(M407&gt;=70,"B+",IF(M407&gt;=60,"B",IF(M407&gt;=50,"C+",IF(M407&gt;=40,"C","F")))))))</f>
        <v/>
      </c>
      <c r="O407">
        <f>IF(OR(J407&lt;I407,L407&lt;I407),"FAIL","PASS")</f>
        <v/>
      </c>
    </row>
    <row r="408">
      <c r="L408">
        <f>IF(D408="","",J408+K408)</f>
        <v/>
      </c>
      <c r="M408" s="9">
        <f>IFERROR(L408/H408*100,"")</f>
        <v/>
      </c>
      <c r="N408">
        <f>IF(M408="","",IF(M408&gt;=90,"A+",IF(M408&gt;=80,"A",IF(M408&gt;=70,"B+",IF(M408&gt;=60,"B",IF(M408&gt;=50,"C+",IF(M408&gt;=40,"C","F")))))))</f>
        <v/>
      </c>
      <c r="O408">
        <f>IF(OR(J408&lt;I408,L408&lt;I408),"FAIL","PASS")</f>
        <v/>
      </c>
    </row>
    <row r="409">
      <c r="L409">
        <f>IF(D409="","",J409+K409)</f>
        <v/>
      </c>
      <c r="M409" s="9">
        <f>IFERROR(L409/H409*100,"")</f>
        <v/>
      </c>
      <c r="N409">
        <f>IF(M409="","",IF(M409&gt;=90,"A+",IF(M409&gt;=80,"A",IF(M409&gt;=70,"B+",IF(M409&gt;=60,"B",IF(M409&gt;=50,"C+",IF(M409&gt;=40,"C","F")))))))</f>
        <v/>
      </c>
      <c r="O409">
        <f>IF(OR(J409&lt;I409,L409&lt;I409),"FAIL","PASS")</f>
        <v/>
      </c>
    </row>
    <row r="410">
      <c r="L410">
        <f>IF(D410="","",J410+K410)</f>
        <v/>
      </c>
      <c r="M410" s="9">
        <f>IFERROR(L410/H410*100,"")</f>
        <v/>
      </c>
      <c r="N410">
        <f>IF(M410="","",IF(M410&gt;=90,"A+",IF(M410&gt;=80,"A",IF(M410&gt;=70,"B+",IF(M410&gt;=60,"B",IF(M410&gt;=50,"C+",IF(M410&gt;=40,"C","F")))))))</f>
        <v/>
      </c>
      <c r="O410">
        <f>IF(OR(J410&lt;I410,L410&lt;I410),"FAIL","PASS")</f>
        <v/>
      </c>
    </row>
    <row r="411">
      <c r="L411">
        <f>IF(D411="","",J411+K411)</f>
        <v/>
      </c>
      <c r="M411" s="9">
        <f>IFERROR(L411/H411*100,"")</f>
        <v/>
      </c>
      <c r="N411">
        <f>IF(M411="","",IF(M411&gt;=90,"A+",IF(M411&gt;=80,"A",IF(M411&gt;=70,"B+",IF(M411&gt;=60,"B",IF(M411&gt;=50,"C+",IF(M411&gt;=40,"C","F")))))))</f>
        <v/>
      </c>
      <c r="O411">
        <f>IF(OR(J411&lt;I411,L411&lt;I411),"FAIL","PASS")</f>
        <v/>
      </c>
    </row>
    <row r="412">
      <c r="L412">
        <f>IF(D412="","",J412+K412)</f>
        <v/>
      </c>
      <c r="M412" s="9">
        <f>IFERROR(L412/H412*100,"")</f>
        <v/>
      </c>
      <c r="N412">
        <f>IF(M412="","",IF(M412&gt;=90,"A+",IF(M412&gt;=80,"A",IF(M412&gt;=70,"B+",IF(M412&gt;=60,"B",IF(M412&gt;=50,"C+",IF(M412&gt;=40,"C","F")))))))</f>
        <v/>
      </c>
      <c r="O412">
        <f>IF(OR(J412&lt;I412,L412&lt;I412),"FAIL","PASS")</f>
        <v/>
      </c>
    </row>
    <row r="413">
      <c r="L413">
        <f>IF(D413="","",J413+K413)</f>
        <v/>
      </c>
      <c r="M413" s="9">
        <f>IFERROR(L413/H413*100,"")</f>
        <v/>
      </c>
      <c r="N413">
        <f>IF(M413="","",IF(M413&gt;=90,"A+",IF(M413&gt;=80,"A",IF(M413&gt;=70,"B+",IF(M413&gt;=60,"B",IF(M413&gt;=50,"C+",IF(M413&gt;=40,"C","F")))))))</f>
        <v/>
      </c>
      <c r="O413">
        <f>IF(OR(J413&lt;I413,L413&lt;I413),"FAIL","PASS")</f>
        <v/>
      </c>
    </row>
    <row r="414">
      <c r="L414">
        <f>IF(D414="","",J414+K414)</f>
        <v/>
      </c>
      <c r="M414" s="9">
        <f>IFERROR(L414/H414*100,"")</f>
        <v/>
      </c>
      <c r="N414">
        <f>IF(M414="","",IF(M414&gt;=90,"A+",IF(M414&gt;=80,"A",IF(M414&gt;=70,"B+",IF(M414&gt;=60,"B",IF(M414&gt;=50,"C+",IF(M414&gt;=40,"C","F")))))))</f>
        <v/>
      </c>
      <c r="O414">
        <f>IF(OR(J414&lt;I414,L414&lt;I414),"FAIL","PASS")</f>
        <v/>
      </c>
    </row>
    <row r="415">
      <c r="L415">
        <f>IF(D415="","",J415+K415)</f>
        <v/>
      </c>
      <c r="M415" s="9">
        <f>IFERROR(L415/H415*100,"")</f>
        <v/>
      </c>
      <c r="N415">
        <f>IF(M415="","",IF(M415&gt;=90,"A+",IF(M415&gt;=80,"A",IF(M415&gt;=70,"B+",IF(M415&gt;=60,"B",IF(M415&gt;=50,"C+",IF(M415&gt;=40,"C","F")))))))</f>
        <v/>
      </c>
      <c r="O415">
        <f>IF(OR(J415&lt;I415,L415&lt;I415),"FAIL","PASS")</f>
        <v/>
      </c>
    </row>
    <row r="416">
      <c r="L416">
        <f>IF(D416="","",J416+K416)</f>
        <v/>
      </c>
      <c r="M416" s="9">
        <f>IFERROR(L416/H416*100,"")</f>
        <v/>
      </c>
      <c r="N416">
        <f>IF(M416="","",IF(M416&gt;=90,"A+",IF(M416&gt;=80,"A",IF(M416&gt;=70,"B+",IF(M416&gt;=60,"B",IF(M416&gt;=50,"C+",IF(M416&gt;=40,"C","F")))))))</f>
        <v/>
      </c>
      <c r="O416">
        <f>IF(OR(J416&lt;I416,L416&lt;I416),"FAIL","PASS")</f>
        <v/>
      </c>
    </row>
    <row r="417">
      <c r="L417">
        <f>IF(D417="","",J417+K417)</f>
        <v/>
      </c>
      <c r="M417" s="9">
        <f>IFERROR(L417/H417*100,"")</f>
        <v/>
      </c>
      <c r="N417">
        <f>IF(M417="","",IF(M417&gt;=90,"A+",IF(M417&gt;=80,"A",IF(M417&gt;=70,"B+",IF(M417&gt;=60,"B",IF(M417&gt;=50,"C+",IF(M417&gt;=40,"C","F")))))))</f>
        <v/>
      </c>
      <c r="O417">
        <f>IF(OR(J417&lt;I417,L417&lt;I417),"FAIL","PASS")</f>
        <v/>
      </c>
    </row>
    <row r="418">
      <c r="L418">
        <f>IF(D418="","",J418+K418)</f>
        <v/>
      </c>
      <c r="M418" s="9">
        <f>IFERROR(L418/H418*100,"")</f>
        <v/>
      </c>
      <c r="N418">
        <f>IF(M418="","",IF(M418&gt;=90,"A+",IF(M418&gt;=80,"A",IF(M418&gt;=70,"B+",IF(M418&gt;=60,"B",IF(M418&gt;=50,"C+",IF(M418&gt;=40,"C","F")))))))</f>
        <v/>
      </c>
      <c r="O418">
        <f>IF(OR(J418&lt;I418,L418&lt;I418),"FAIL","PASS")</f>
        <v/>
      </c>
    </row>
    <row r="419">
      <c r="L419">
        <f>IF(D419="","",J419+K419)</f>
        <v/>
      </c>
      <c r="M419" s="9">
        <f>IFERROR(L419/H419*100,"")</f>
        <v/>
      </c>
      <c r="N419">
        <f>IF(M419="","",IF(M419&gt;=90,"A+",IF(M419&gt;=80,"A",IF(M419&gt;=70,"B+",IF(M419&gt;=60,"B",IF(M419&gt;=50,"C+",IF(M419&gt;=40,"C","F")))))))</f>
        <v/>
      </c>
      <c r="O419">
        <f>IF(OR(J419&lt;I419,L419&lt;I419),"FAIL","PASS")</f>
        <v/>
      </c>
    </row>
    <row r="420">
      <c r="L420">
        <f>IF(D420="","",J420+K420)</f>
        <v/>
      </c>
      <c r="M420" s="9">
        <f>IFERROR(L420/H420*100,"")</f>
        <v/>
      </c>
      <c r="N420">
        <f>IF(M420="","",IF(M420&gt;=90,"A+",IF(M420&gt;=80,"A",IF(M420&gt;=70,"B+",IF(M420&gt;=60,"B",IF(M420&gt;=50,"C+",IF(M420&gt;=40,"C","F")))))))</f>
        <v/>
      </c>
      <c r="O420">
        <f>IF(OR(J420&lt;I420,L420&lt;I420),"FAIL","PASS")</f>
        <v/>
      </c>
    </row>
    <row r="421">
      <c r="L421">
        <f>IF(D421="","",J421+K421)</f>
        <v/>
      </c>
      <c r="M421" s="9">
        <f>IFERROR(L421/H421*100,"")</f>
        <v/>
      </c>
      <c r="N421">
        <f>IF(M421="","",IF(M421&gt;=90,"A+",IF(M421&gt;=80,"A",IF(M421&gt;=70,"B+",IF(M421&gt;=60,"B",IF(M421&gt;=50,"C+",IF(M421&gt;=40,"C","F")))))))</f>
        <v/>
      </c>
      <c r="O421">
        <f>IF(OR(J421&lt;I421,L421&lt;I421),"FAIL","PASS")</f>
        <v/>
      </c>
    </row>
    <row r="422">
      <c r="L422">
        <f>IF(D422="","",J422+K422)</f>
        <v/>
      </c>
      <c r="M422" s="9">
        <f>IFERROR(L422/H422*100,"")</f>
        <v/>
      </c>
      <c r="N422">
        <f>IF(M422="","",IF(M422&gt;=90,"A+",IF(M422&gt;=80,"A",IF(M422&gt;=70,"B+",IF(M422&gt;=60,"B",IF(M422&gt;=50,"C+",IF(M422&gt;=40,"C","F")))))))</f>
        <v/>
      </c>
      <c r="O422">
        <f>IF(OR(J422&lt;I422,L422&lt;I422),"FAIL","PASS")</f>
        <v/>
      </c>
    </row>
    <row r="423">
      <c r="L423">
        <f>IF(D423="","",J423+K423)</f>
        <v/>
      </c>
      <c r="M423" s="9">
        <f>IFERROR(L423/H423*100,"")</f>
        <v/>
      </c>
      <c r="N423">
        <f>IF(M423="","",IF(M423&gt;=90,"A+",IF(M423&gt;=80,"A",IF(M423&gt;=70,"B+",IF(M423&gt;=60,"B",IF(M423&gt;=50,"C+",IF(M423&gt;=40,"C","F")))))))</f>
        <v/>
      </c>
      <c r="O423">
        <f>IF(OR(J423&lt;I423,L423&lt;I423),"FAIL","PASS")</f>
        <v/>
      </c>
    </row>
    <row r="424">
      <c r="L424">
        <f>IF(D424="","",J424+K424)</f>
        <v/>
      </c>
      <c r="M424" s="9">
        <f>IFERROR(L424/H424*100,"")</f>
        <v/>
      </c>
      <c r="N424">
        <f>IF(M424="","",IF(M424&gt;=90,"A+",IF(M424&gt;=80,"A",IF(M424&gt;=70,"B+",IF(M424&gt;=60,"B",IF(M424&gt;=50,"C+",IF(M424&gt;=40,"C","F")))))))</f>
        <v/>
      </c>
      <c r="O424">
        <f>IF(OR(J424&lt;I424,L424&lt;I424),"FAIL","PASS")</f>
        <v/>
      </c>
    </row>
    <row r="425">
      <c r="L425">
        <f>IF(D425="","",J425+K425)</f>
        <v/>
      </c>
      <c r="M425" s="9">
        <f>IFERROR(L425/H425*100,"")</f>
        <v/>
      </c>
      <c r="N425">
        <f>IF(M425="","",IF(M425&gt;=90,"A+",IF(M425&gt;=80,"A",IF(M425&gt;=70,"B+",IF(M425&gt;=60,"B",IF(M425&gt;=50,"C+",IF(M425&gt;=40,"C","F")))))))</f>
        <v/>
      </c>
      <c r="O425">
        <f>IF(OR(J425&lt;I425,L425&lt;I425),"FAIL","PASS")</f>
        <v/>
      </c>
    </row>
    <row r="426">
      <c r="L426">
        <f>IF(D426="","",J426+K426)</f>
        <v/>
      </c>
      <c r="M426" s="9">
        <f>IFERROR(L426/H426*100,"")</f>
        <v/>
      </c>
      <c r="N426">
        <f>IF(M426="","",IF(M426&gt;=90,"A+",IF(M426&gt;=80,"A",IF(M426&gt;=70,"B+",IF(M426&gt;=60,"B",IF(M426&gt;=50,"C+",IF(M426&gt;=40,"C","F")))))))</f>
        <v/>
      </c>
      <c r="O426">
        <f>IF(OR(J426&lt;I426,L426&lt;I426),"FAIL","PASS")</f>
        <v/>
      </c>
    </row>
    <row r="427">
      <c r="L427">
        <f>IF(D427="","",J427+K427)</f>
        <v/>
      </c>
      <c r="M427" s="9">
        <f>IFERROR(L427/H427*100,"")</f>
        <v/>
      </c>
      <c r="N427">
        <f>IF(M427="","",IF(M427&gt;=90,"A+",IF(M427&gt;=80,"A",IF(M427&gt;=70,"B+",IF(M427&gt;=60,"B",IF(M427&gt;=50,"C+",IF(M427&gt;=40,"C","F")))))))</f>
        <v/>
      </c>
      <c r="O427">
        <f>IF(OR(J427&lt;I427,L427&lt;I427),"FAIL","PASS")</f>
        <v/>
      </c>
    </row>
    <row r="428">
      <c r="L428">
        <f>IF(D428="","",J428+K428)</f>
        <v/>
      </c>
      <c r="M428" s="9">
        <f>IFERROR(L428/H428*100,"")</f>
        <v/>
      </c>
      <c r="N428">
        <f>IF(M428="","",IF(M428&gt;=90,"A+",IF(M428&gt;=80,"A",IF(M428&gt;=70,"B+",IF(M428&gt;=60,"B",IF(M428&gt;=50,"C+",IF(M428&gt;=40,"C","F")))))))</f>
        <v/>
      </c>
      <c r="O428">
        <f>IF(OR(J428&lt;I428,L428&lt;I428),"FAIL","PASS")</f>
        <v/>
      </c>
    </row>
    <row r="429">
      <c r="L429">
        <f>IF(D429="","",J429+K429)</f>
        <v/>
      </c>
      <c r="M429" s="9">
        <f>IFERROR(L429/H429*100,"")</f>
        <v/>
      </c>
      <c r="N429">
        <f>IF(M429="","",IF(M429&gt;=90,"A+",IF(M429&gt;=80,"A",IF(M429&gt;=70,"B+",IF(M429&gt;=60,"B",IF(M429&gt;=50,"C+",IF(M429&gt;=40,"C","F")))))))</f>
        <v/>
      </c>
      <c r="O429">
        <f>IF(OR(J429&lt;I429,L429&lt;I429),"FAIL","PASS")</f>
        <v/>
      </c>
    </row>
    <row r="430">
      <c r="L430">
        <f>IF(D430="","",J430+K430)</f>
        <v/>
      </c>
      <c r="M430" s="9">
        <f>IFERROR(L430/H430*100,"")</f>
        <v/>
      </c>
      <c r="N430">
        <f>IF(M430="","",IF(M430&gt;=90,"A+",IF(M430&gt;=80,"A",IF(M430&gt;=70,"B+",IF(M430&gt;=60,"B",IF(M430&gt;=50,"C+",IF(M430&gt;=40,"C","F")))))))</f>
        <v/>
      </c>
      <c r="O430">
        <f>IF(OR(J430&lt;I430,L430&lt;I430),"FAIL","PASS")</f>
        <v/>
      </c>
    </row>
    <row r="431">
      <c r="L431">
        <f>IF(D431="","",J431+K431)</f>
        <v/>
      </c>
      <c r="M431" s="9">
        <f>IFERROR(L431/H431*100,"")</f>
        <v/>
      </c>
      <c r="N431">
        <f>IF(M431="","",IF(M431&gt;=90,"A+",IF(M431&gt;=80,"A",IF(M431&gt;=70,"B+",IF(M431&gt;=60,"B",IF(M431&gt;=50,"C+",IF(M431&gt;=40,"C","F")))))))</f>
        <v/>
      </c>
      <c r="O431">
        <f>IF(OR(J431&lt;I431,L431&lt;I431),"FAIL","PASS")</f>
        <v/>
      </c>
    </row>
    <row r="432">
      <c r="L432">
        <f>IF(D432="","",J432+K432)</f>
        <v/>
      </c>
      <c r="M432" s="9">
        <f>IFERROR(L432/H432*100,"")</f>
        <v/>
      </c>
      <c r="N432">
        <f>IF(M432="","",IF(M432&gt;=90,"A+",IF(M432&gt;=80,"A",IF(M432&gt;=70,"B+",IF(M432&gt;=60,"B",IF(M432&gt;=50,"C+",IF(M432&gt;=40,"C","F")))))))</f>
        <v/>
      </c>
      <c r="O432">
        <f>IF(OR(J432&lt;I432,L432&lt;I432),"FAIL","PASS")</f>
        <v/>
      </c>
    </row>
    <row r="433">
      <c r="L433">
        <f>IF(D433="","",J433+K433)</f>
        <v/>
      </c>
      <c r="M433" s="9">
        <f>IFERROR(L433/H433*100,"")</f>
        <v/>
      </c>
      <c r="N433">
        <f>IF(M433="","",IF(M433&gt;=90,"A+",IF(M433&gt;=80,"A",IF(M433&gt;=70,"B+",IF(M433&gt;=60,"B",IF(M433&gt;=50,"C+",IF(M433&gt;=40,"C","F")))))))</f>
        <v/>
      </c>
      <c r="O433">
        <f>IF(OR(J433&lt;I433,L433&lt;I433),"FAIL","PASS")</f>
        <v/>
      </c>
    </row>
    <row r="434">
      <c r="L434">
        <f>IF(D434="","",J434+K434)</f>
        <v/>
      </c>
      <c r="M434" s="9">
        <f>IFERROR(L434/H434*100,"")</f>
        <v/>
      </c>
      <c r="N434">
        <f>IF(M434="","",IF(M434&gt;=90,"A+",IF(M434&gt;=80,"A",IF(M434&gt;=70,"B+",IF(M434&gt;=60,"B",IF(M434&gt;=50,"C+",IF(M434&gt;=40,"C","F")))))))</f>
        <v/>
      </c>
      <c r="O434">
        <f>IF(OR(J434&lt;I434,L434&lt;I434),"FAIL","PASS")</f>
        <v/>
      </c>
    </row>
    <row r="435">
      <c r="L435">
        <f>IF(D435="","",J435+K435)</f>
        <v/>
      </c>
      <c r="M435" s="9">
        <f>IFERROR(L435/H435*100,"")</f>
        <v/>
      </c>
      <c r="N435">
        <f>IF(M435="","",IF(M435&gt;=90,"A+",IF(M435&gt;=80,"A",IF(M435&gt;=70,"B+",IF(M435&gt;=60,"B",IF(M435&gt;=50,"C+",IF(M435&gt;=40,"C","F")))))))</f>
        <v/>
      </c>
      <c r="O435">
        <f>IF(OR(J435&lt;I435,L435&lt;I435),"FAIL","PASS")</f>
        <v/>
      </c>
    </row>
    <row r="436">
      <c r="L436">
        <f>IF(D436="","",J436+K436)</f>
        <v/>
      </c>
      <c r="M436" s="9">
        <f>IFERROR(L436/H436*100,"")</f>
        <v/>
      </c>
      <c r="N436">
        <f>IF(M436="","",IF(M436&gt;=90,"A+",IF(M436&gt;=80,"A",IF(M436&gt;=70,"B+",IF(M436&gt;=60,"B",IF(M436&gt;=50,"C+",IF(M436&gt;=40,"C","F")))))))</f>
        <v/>
      </c>
      <c r="O436">
        <f>IF(OR(J436&lt;I436,L436&lt;I436),"FAIL","PASS")</f>
        <v/>
      </c>
    </row>
    <row r="437">
      <c r="L437">
        <f>IF(D437="","",J437+K437)</f>
        <v/>
      </c>
      <c r="M437" s="9">
        <f>IFERROR(L437/H437*100,"")</f>
        <v/>
      </c>
      <c r="N437">
        <f>IF(M437="","",IF(M437&gt;=90,"A+",IF(M437&gt;=80,"A",IF(M437&gt;=70,"B+",IF(M437&gt;=60,"B",IF(M437&gt;=50,"C+",IF(M437&gt;=40,"C","F")))))))</f>
        <v/>
      </c>
      <c r="O437">
        <f>IF(OR(J437&lt;I437,L437&lt;I437),"FAIL","PASS")</f>
        <v/>
      </c>
    </row>
    <row r="438">
      <c r="L438">
        <f>IF(D438="","",J438+K438)</f>
        <v/>
      </c>
      <c r="M438" s="9">
        <f>IFERROR(L438/H438*100,"")</f>
        <v/>
      </c>
      <c r="N438">
        <f>IF(M438="","",IF(M438&gt;=90,"A+",IF(M438&gt;=80,"A",IF(M438&gt;=70,"B+",IF(M438&gt;=60,"B",IF(M438&gt;=50,"C+",IF(M438&gt;=40,"C","F")))))))</f>
        <v/>
      </c>
      <c r="O438">
        <f>IF(OR(J438&lt;I438,L438&lt;I438),"FAIL","PASS")</f>
        <v/>
      </c>
    </row>
    <row r="439">
      <c r="L439">
        <f>IF(D439="","",J439+K439)</f>
        <v/>
      </c>
      <c r="M439" s="9">
        <f>IFERROR(L439/H439*100,"")</f>
        <v/>
      </c>
      <c r="N439">
        <f>IF(M439="","",IF(M439&gt;=90,"A+",IF(M439&gt;=80,"A",IF(M439&gt;=70,"B+",IF(M439&gt;=60,"B",IF(M439&gt;=50,"C+",IF(M439&gt;=40,"C","F")))))))</f>
        <v/>
      </c>
      <c r="O439">
        <f>IF(OR(J439&lt;I439,L439&lt;I439),"FAIL","PASS")</f>
        <v/>
      </c>
    </row>
    <row r="440">
      <c r="L440">
        <f>IF(D440="","",J440+K440)</f>
        <v/>
      </c>
      <c r="M440" s="9">
        <f>IFERROR(L440/H440*100,"")</f>
        <v/>
      </c>
      <c r="N440">
        <f>IF(M440="","",IF(M440&gt;=90,"A+",IF(M440&gt;=80,"A",IF(M440&gt;=70,"B+",IF(M440&gt;=60,"B",IF(M440&gt;=50,"C+",IF(M440&gt;=40,"C","F")))))))</f>
        <v/>
      </c>
      <c r="O440">
        <f>IF(OR(J440&lt;I440,L440&lt;I440),"FAIL","PASS")</f>
        <v/>
      </c>
    </row>
    <row r="441">
      <c r="L441">
        <f>IF(D441="","",J441+K441)</f>
        <v/>
      </c>
      <c r="M441" s="9">
        <f>IFERROR(L441/H441*100,"")</f>
        <v/>
      </c>
      <c r="N441">
        <f>IF(M441="","",IF(M441&gt;=90,"A+",IF(M441&gt;=80,"A",IF(M441&gt;=70,"B+",IF(M441&gt;=60,"B",IF(M441&gt;=50,"C+",IF(M441&gt;=40,"C","F")))))))</f>
        <v/>
      </c>
      <c r="O441">
        <f>IF(OR(J441&lt;I441,L441&lt;I441),"FAIL","PASS")</f>
        <v/>
      </c>
    </row>
    <row r="442">
      <c r="L442">
        <f>IF(D442="","",J442+K442)</f>
        <v/>
      </c>
      <c r="M442" s="9">
        <f>IFERROR(L442/H442*100,"")</f>
        <v/>
      </c>
      <c r="N442">
        <f>IF(M442="","",IF(M442&gt;=90,"A+",IF(M442&gt;=80,"A",IF(M442&gt;=70,"B+",IF(M442&gt;=60,"B",IF(M442&gt;=50,"C+",IF(M442&gt;=40,"C","F")))))))</f>
        <v/>
      </c>
      <c r="O442">
        <f>IF(OR(J442&lt;I442,L442&lt;I442),"FAIL","PASS")</f>
        <v/>
      </c>
    </row>
    <row r="443">
      <c r="L443">
        <f>IF(D443="","",J443+K443)</f>
        <v/>
      </c>
      <c r="M443" s="9">
        <f>IFERROR(L443/H443*100,"")</f>
        <v/>
      </c>
      <c r="N443">
        <f>IF(M443="","",IF(M443&gt;=90,"A+",IF(M443&gt;=80,"A",IF(M443&gt;=70,"B+",IF(M443&gt;=60,"B",IF(M443&gt;=50,"C+",IF(M443&gt;=40,"C","F")))))))</f>
        <v/>
      </c>
      <c r="O443">
        <f>IF(OR(J443&lt;I443,L443&lt;I443),"FAIL","PASS")</f>
        <v/>
      </c>
    </row>
    <row r="444">
      <c r="L444">
        <f>IF(D444="","",J444+K444)</f>
        <v/>
      </c>
      <c r="M444" s="9">
        <f>IFERROR(L444/H444*100,"")</f>
        <v/>
      </c>
      <c r="N444">
        <f>IF(M444="","",IF(M444&gt;=90,"A+",IF(M444&gt;=80,"A",IF(M444&gt;=70,"B+",IF(M444&gt;=60,"B",IF(M444&gt;=50,"C+",IF(M444&gt;=40,"C","F")))))))</f>
        <v/>
      </c>
      <c r="O444">
        <f>IF(OR(J444&lt;I444,L444&lt;I444),"FAIL","PASS")</f>
        <v/>
      </c>
    </row>
    <row r="445">
      <c r="L445">
        <f>IF(D445="","",J445+K445)</f>
        <v/>
      </c>
      <c r="M445" s="9">
        <f>IFERROR(L445/H445*100,"")</f>
        <v/>
      </c>
      <c r="N445">
        <f>IF(M445="","",IF(M445&gt;=90,"A+",IF(M445&gt;=80,"A",IF(M445&gt;=70,"B+",IF(M445&gt;=60,"B",IF(M445&gt;=50,"C+",IF(M445&gt;=40,"C","F")))))))</f>
        <v/>
      </c>
      <c r="O445">
        <f>IF(OR(J445&lt;I445,L445&lt;I445),"FAIL","PASS")</f>
        <v/>
      </c>
    </row>
    <row r="446">
      <c r="L446">
        <f>IF(D446="","",J446+K446)</f>
        <v/>
      </c>
      <c r="M446" s="9">
        <f>IFERROR(L446/H446*100,"")</f>
        <v/>
      </c>
      <c r="N446">
        <f>IF(M446="","",IF(M446&gt;=90,"A+",IF(M446&gt;=80,"A",IF(M446&gt;=70,"B+",IF(M446&gt;=60,"B",IF(M446&gt;=50,"C+",IF(M446&gt;=40,"C","F")))))))</f>
        <v/>
      </c>
      <c r="O446">
        <f>IF(OR(J446&lt;I446,L446&lt;I446),"FAIL","PASS")</f>
        <v/>
      </c>
    </row>
    <row r="447">
      <c r="L447">
        <f>IF(D447="","",J447+K447)</f>
        <v/>
      </c>
      <c r="M447" s="9">
        <f>IFERROR(L447/H447*100,"")</f>
        <v/>
      </c>
      <c r="N447">
        <f>IF(M447="","",IF(M447&gt;=90,"A+",IF(M447&gt;=80,"A",IF(M447&gt;=70,"B+",IF(M447&gt;=60,"B",IF(M447&gt;=50,"C+",IF(M447&gt;=40,"C","F")))))))</f>
        <v/>
      </c>
      <c r="O447">
        <f>IF(OR(J447&lt;I447,L447&lt;I447),"FAIL","PASS")</f>
        <v/>
      </c>
    </row>
    <row r="448">
      <c r="L448">
        <f>IF(D448="","",J448+K448)</f>
        <v/>
      </c>
      <c r="M448" s="9">
        <f>IFERROR(L448/H448*100,"")</f>
        <v/>
      </c>
      <c r="N448">
        <f>IF(M448="","",IF(M448&gt;=90,"A+",IF(M448&gt;=80,"A",IF(M448&gt;=70,"B+",IF(M448&gt;=60,"B",IF(M448&gt;=50,"C+",IF(M448&gt;=40,"C","F")))))))</f>
        <v/>
      </c>
      <c r="O448">
        <f>IF(OR(J448&lt;I448,L448&lt;I448),"FAIL","PASS")</f>
        <v/>
      </c>
    </row>
    <row r="449">
      <c r="L449">
        <f>IF(D449="","",J449+K449)</f>
        <v/>
      </c>
      <c r="M449" s="9">
        <f>IFERROR(L449/H449*100,"")</f>
        <v/>
      </c>
      <c r="N449">
        <f>IF(M449="","",IF(M449&gt;=90,"A+",IF(M449&gt;=80,"A",IF(M449&gt;=70,"B+",IF(M449&gt;=60,"B",IF(M449&gt;=50,"C+",IF(M449&gt;=40,"C","F")))))))</f>
        <v/>
      </c>
      <c r="O449">
        <f>IF(OR(J449&lt;I449,L449&lt;I449),"FAIL","PASS")</f>
        <v/>
      </c>
    </row>
    <row r="450">
      <c r="L450">
        <f>IF(D450="","",J450+K450)</f>
        <v/>
      </c>
      <c r="M450" s="9">
        <f>IFERROR(L450/H450*100,"")</f>
        <v/>
      </c>
      <c r="N450">
        <f>IF(M450="","",IF(M450&gt;=90,"A+",IF(M450&gt;=80,"A",IF(M450&gt;=70,"B+",IF(M450&gt;=60,"B",IF(M450&gt;=50,"C+",IF(M450&gt;=40,"C","F")))))))</f>
        <v/>
      </c>
      <c r="O450">
        <f>IF(OR(J450&lt;I450,L450&lt;I450),"FAIL","PASS")</f>
        <v/>
      </c>
    </row>
    <row r="451">
      <c r="L451">
        <f>IF(D451="","",J451+K451)</f>
        <v/>
      </c>
      <c r="M451" s="9">
        <f>IFERROR(L451/H451*100,"")</f>
        <v/>
      </c>
      <c r="N451">
        <f>IF(M451="","",IF(M451&gt;=90,"A+",IF(M451&gt;=80,"A",IF(M451&gt;=70,"B+",IF(M451&gt;=60,"B",IF(M451&gt;=50,"C+",IF(M451&gt;=40,"C","F")))))))</f>
        <v/>
      </c>
      <c r="O451">
        <f>IF(OR(J451&lt;I451,L451&lt;I451),"FAIL","PASS")</f>
        <v/>
      </c>
    </row>
    <row r="452">
      <c r="L452">
        <f>IF(D452="","",J452+K452)</f>
        <v/>
      </c>
      <c r="M452" s="9">
        <f>IFERROR(L452/H452*100,"")</f>
        <v/>
      </c>
      <c r="N452">
        <f>IF(M452="","",IF(M452&gt;=90,"A+",IF(M452&gt;=80,"A",IF(M452&gt;=70,"B+",IF(M452&gt;=60,"B",IF(M452&gt;=50,"C+",IF(M452&gt;=40,"C","F")))))))</f>
        <v/>
      </c>
      <c r="O452">
        <f>IF(OR(J452&lt;I452,L452&lt;I452),"FAIL","PASS")</f>
        <v/>
      </c>
    </row>
    <row r="453">
      <c r="L453">
        <f>IF(D453="","",J453+K453)</f>
        <v/>
      </c>
      <c r="M453" s="9">
        <f>IFERROR(L453/H453*100,"")</f>
        <v/>
      </c>
      <c r="N453">
        <f>IF(M453="","",IF(M453&gt;=90,"A+",IF(M453&gt;=80,"A",IF(M453&gt;=70,"B+",IF(M453&gt;=60,"B",IF(M453&gt;=50,"C+",IF(M453&gt;=40,"C","F")))))))</f>
        <v/>
      </c>
      <c r="O453">
        <f>IF(OR(J453&lt;I453,L453&lt;I453),"FAIL","PASS")</f>
        <v/>
      </c>
    </row>
    <row r="454">
      <c r="L454">
        <f>IF(D454="","",J454+K454)</f>
        <v/>
      </c>
      <c r="M454" s="9">
        <f>IFERROR(L454/H454*100,"")</f>
        <v/>
      </c>
      <c r="N454">
        <f>IF(M454="","",IF(M454&gt;=90,"A+",IF(M454&gt;=80,"A",IF(M454&gt;=70,"B+",IF(M454&gt;=60,"B",IF(M454&gt;=50,"C+",IF(M454&gt;=40,"C","F")))))))</f>
        <v/>
      </c>
      <c r="O454">
        <f>IF(OR(J454&lt;I454,L454&lt;I454),"FAIL","PASS")</f>
        <v/>
      </c>
    </row>
    <row r="455">
      <c r="L455">
        <f>IF(D455="","",J455+K455)</f>
        <v/>
      </c>
      <c r="M455" s="9">
        <f>IFERROR(L455/H455*100,"")</f>
        <v/>
      </c>
      <c r="N455">
        <f>IF(M455="","",IF(M455&gt;=90,"A+",IF(M455&gt;=80,"A",IF(M455&gt;=70,"B+",IF(M455&gt;=60,"B",IF(M455&gt;=50,"C+",IF(M455&gt;=40,"C","F")))))))</f>
        <v/>
      </c>
      <c r="O455">
        <f>IF(OR(J455&lt;I455,L455&lt;I455),"FAIL","PASS")</f>
        <v/>
      </c>
    </row>
    <row r="456">
      <c r="L456">
        <f>IF(D456="","",J456+K456)</f>
        <v/>
      </c>
      <c r="M456" s="9">
        <f>IFERROR(L456/H456*100,"")</f>
        <v/>
      </c>
      <c r="N456">
        <f>IF(M456="","",IF(M456&gt;=90,"A+",IF(M456&gt;=80,"A",IF(M456&gt;=70,"B+",IF(M456&gt;=60,"B",IF(M456&gt;=50,"C+",IF(M456&gt;=40,"C","F")))))))</f>
        <v/>
      </c>
      <c r="O456">
        <f>IF(OR(J456&lt;I456,L456&lt;I456),"FAIL","PASS")</f>
        <v/>
      </c>
    </row>
    <row r="457">
      <c r="L457">
        <f>IF(D457="","",J457+K457)</f>
        <v/>
      </c>
      <c r="M457" s="9">
        <f>IFERROR(L457/H457*100,"")</f>
        <v/>
      </c>
      <c r="N457">
        <f>IF(M457="","",IF(M457&gt;=90,"A+",IF(M457&gt;=80,"A",IF(M457&gt;=70,"B+",IF(M457&gt;=60,"B",IF(M457&gt;=50,"C+",IF(M457&gt;=40,"C","F")))))))</f>
        <v/>
      </c>
      <c r="O457">
        <f>IF(OR(J457&lt;I457,L457&lt;I457),"FAIL","PASS")</f>
        <v/>
      </c>
    </row>
    <row r="458">
      <c r="L458">
        <f>IF(D458="","",J458+K458)</f>
        <v/>
      </c>
      <c r="M458" s="9">
        <f>IFERROR(L458/H458*100,"")</f>
        <v/>
      </c>
      <c r="N458">
        <f>IF(M458="","",IF(M458&gt;=90,"A+",IF(M458&gt;=80,"A",IF(M458&gt;=70,"B+",IF(M458&gt;=60,"B",IF(M458&gt;=50,"C+",IF(M458&gt;=40,"C","F")))))))</f>
        <v/>
      </c>
      <c r="O458">
        <f>IF(OR(J458&lt;I458,L458&lt;I458),"FAIL","PASS")</f>
        <v/>
      </c>
    </row>
    <row r="459">
      <c r="L459">
        <f>IF(D459="","",J459+K459)</f>
        <v/>
      </c>
      <c r="M459" s="9">
        <f>IFERROR(L459/H459*100,"")</f>
        <v/>
      </c>
      <c r="N459">
        <f>IF(M459="","",IF(M459&gt;=90,"A+",IF(M459&gt;=80,"A",IF(M459&gt;=70,"B+",IF(M459&gt;=60,"B",IF(M459&gt;=50,"C+",IF(M459&gt;=40,"C","F")))))))</f>
        <v/>
      </c>
      <c r="O459">
        <f>IF(OR(J459&lt;I459,L459&lt;I459),"FAIL","PASS")</f>
        <v/>
      </c>
    </row>
    <row r="460">
      <c r="L460">
        <f>IF(D460="","",J460+K460)</f>
        <v/>
      </c>
      <c r="M460" s="9">
        <f>IFERROR(L460/H460*100,"")</f>
        <v/>
      </c>
      <c r="N460">
        <f>IF(M460="","",IF(M460&gt;=90,"A+",IF(M460&gt;=80,"A",IF(M460&gt;=70,"B+",IF(M460&gt;=60,"B",IF(M460&gt;=50,"C+",IF(M460&gt;=40,"C","F")))))))</f>
        <v/>
      </c>
      <c r="O460">
        <f>IF(OR(J460&lt;I460,L460&lt;I460),"FAIL","PASS")</f>
        <v/>
      </c>
    </row>
    <row r="461">
      <c r="L461">
        <f>IF(D461="","",J461+K461)</f>
        <v/>
      </c>
      <c r="M461" s="9">
        <f>IFERROR(L461/H461*100,"")</f>
        <v/>
      </c>
      <c r="N461">
        <f>IF(M461="","",IF(M461&gt;=90,"A+",IF(M461&gt;=80,"A",IF(M461&gt;=70,"B+",IF(M461&gt;=60,"B",IF(M461&gt;=50,"C+",IF(M461&gt;=40,"C","F")))))))</f>
        <v/>
      </c>
      <c r="O461">
        <f>IF(OR(J461&lt;I461,L461&lt;I461),"FAIL","PASS")</f>
        <v/>
      </c>
    </row>
    <row r="462">
      <c r="L462">
        <f>IF(D462="","",J462+K462)</f>
        <v/>
      </c>
      <c r="M462" s="9">
        <f>IFERROR(L462/H462*100,"")</f>
        <v/>
      </c>
      <c r="N462">
        <f>IF(M462="","",IF(M462&gt;=90,"A+",IF(M462&gt;=80,"A",IF(M462&gt;=70,"B+",IF(M462&gt;=60,"B",IF(M462&gt;=50,"C+",IF(M462&gt;=40,"C","F")))))))</f>
        <v/>
      </c>
      <c r="O462">
        <f>IF(OR(J462&lt;I462,L462&lt;I462),"FAIL","PASS")</f>
        <v/>
      </c>
    </row>
    <row r="463">
      <c r="L463">
        <f>IF(D463="","",J463+K463)</f>
        <v/>
      </c>
      <c r="M463" s="9">
        <f>IFERROR(L463/H463*100,"")</f>
        <v/>
      </c>
      <c r="N463">
        <f>IF(M463="","",IF(M463&gt;=90,"A+",IF(M463&gt;=80,"A",IF(M463&gt;=70,"B+",IF(M463&gt;=60,"B",IF(M463&gt;=50,"C+",IF(M463&gt;=40,"C","F")))))))</f>
        <v/>
      </c>
      <c r="O463">
        <f>IF(OR(J463&lt;I463,L463&lt;I463),"FAIL","PASS")</f>
        <v/>
      </c>
    </row>
    <row r="464">
      <c r="L464">
        <f>IF(D464="","",J464+K464)</f>
        <v/>
      </c>
      <c r="M464" s="9">
        <f>IFERROR(L464/H464*100,"")</f>
        <v/>
      </c>
      <c r="N464">
        <f>IF(M464="","",IF(M464&gt;=90,"A+",IF(M464&gt;=80,"A",IF(M464&gt;=70,"B+",IF(M464&gt;=60,"B",IF(M464&gt;=50,"C+",IF(M464&gt;=40,"C","F")))))))</f>
        <v/>
      </c>
      <c r="O464">
        <f>IF(OR(J464&lt;I464,L464&lt;I464),"FAIL","PASS")</f>
        <v/>
      </c>
    </row>
    <row r="465">
      <c r="L465">
        <f>IF(D465="","",J465+K465)</f>
        <v/>
      </c>
      <c r="M465" s="9">
        <f>IFERROR(L465/H465*100,"")</f>
        <v/>
      </c>
      <c r="N465">
        <f>IF(M465="","",IF(M465&gt;=90,"A+",IF(M465&gt;=80,"A",IF(M465&gt;=70,"B+",IF(M465&gt;=60,"B",IF(M465&gt;=50,"C+",IF(M465&gt;=40,"C","F")))))))</f>
        <v/>
      </c>
      <c r="O465">
        <f>IF(OR(J465&lt;I465,L465&lt;I465),"FAIL","PASS")</f>
        <v/>
      </c>
    </row>
    <row r="466">
      <c r="L466">
        <f>IF(D466="","",J466+K466)</f>
        <v/>
      </c>
      <c r="M466" s="9">
        <f>IFERROR(L466/H466*100,"")</f>
        <v/>
      </c>
      <c r="N466">
        <f>IF(M466="","",IF(M466&gt;=90,"A+",IF(M466&gt;=80,"A",IF(M466&gt;=70,"B+",IF(M466&gt;=60,"B",IF(M466&gt;=50,"C+",IF(M466&gt;=40,"C","F")))))))</f>
        <v/>
      </c>
      <c r="O466">
        <f>IF(OR(J466&lt;I466,L466&lt;I466),"FAIL","PASS")</f>
        <v/>
      </c>
    </row>
    <row r="467">
      <c r="L467">
        <f>IF(D467="","",J467+K467)</f>
        <v/>
      </c>
      <c r="M467" s="9">
        <f>IFERROR(L467/H467*100,"")</f>
        <v/>
      </c>
      <c r="N467">
        <f>IF(M467="","",IF(M467&gt;=90,"A+",IF(M467&gt;=80,"A",IF(M467&gt;=70,"B+",IF(M467&gt;=60,"B",IF(M467&gt;=50,"C+",IF(M467&gt;=40,"C","F")))))))</f>
        <v/>
      </c>
      <c r="O467">
        <f>IF(OR(J467&lt;I467,L467&lt;I467),"FAIL","PASS")</f>
        <v/>
      </c>
    </row>
    <row r="468">
      <c r="L468">
        <f>IF(D468="","",J468+K468)</f>
        <v/>
      </c>
      <c r="M468" s="9">
        <f>IFERROR(L468/H468*100,"")</f>
        <v/>
      </c>
      <c r="N468">
        <f>IF(M468="","",IF(M468&gt;=90,"A+",IF(M468&gt;=80,"A",IF(M468&gt;=70,"B+",IF(M468&gt;=60,"B",IF(M468&gt;=50,"C+",IF(M468&gt;=40,"C","F")))))))</f>
        <v/>
      </c>
      <c r="O468">
        <f>IF(OR(J468&lt;I468,L468&lt;I468),"FAIL","PASS")</f>
        <v/>
      </c>
    </row>
    <row r="469">
      <c r="L469">
        <f>IF(D469="","",J469+K469)</f>
        <v/>
      </c>
      <c r="M469" s="9">
        <f>IFERROR(L469/H469*100,"")</f>
        <v/>
      </c>
      <c r="N469">
        <f>IF(M469="","",IF(M469&gt;=90,"A+",IF(M469&gt;=80,"A",IF(M469&gt;=70,"B+",IF(M469&gt;=60,"B",IF(M469&gt;=50,"C+",IF(M469&gt;=40,"C","F")))))))</f>
        <v/>
      </c>
      <c r="O469">
        <f>IF(OR(J469&lt;I469,L469&lt;I469),"FAIL","PASS")</f>
        <v/>
      </c>
    </row>
    <row r="470">
      <c r="L470">
        <f>IF(D470="","",J470+K470)</f>
        <v/>
      </c>
      <c r="M470" s="9">
        <f>IFERROR(L470/H470*100,"")</f>
        <v/>
      </c>
      <c r="N470">
        <f>IF(M470="","",IF(M470&gt;=90,"A+",IF(M470&gt;=80,"A",IF(M470&gt;=70,"B+",IF(M470&gt;=60,"B",IF(M470&gt;=50,"C+",IF(M470&gt;=40,"C","F")))))))</f>
        <v/>
      </c>
      <c r="O470">
        <f>IF(OR(J470&lt;I470,L470&lt;I470),"FAIL","PASS")</f>
        <v/>
      </c>
    </row>
    <row r="471">
      <c r="L471">
        <f>IF(D471="","",J471+K471)</f>
        <v/>
      </c>
      <c r="M471" s="9">
        <f>IFERROR(L471/H471*100,"")</f>
        <v/>
      </c>
      <c r="N471">
        <f>IF(M471="","",IF(M471&gt;=90,"A+",IF(M471&gt;=80,"A",IF(M471&gt;=70,"B+",IF(M471&gt;=60,"B",IF(M471&gt;=50,"C+",IF(M471&gt;=40,"C","F")))))))</f>
        <v/>
      </c>
      <c r="O471">
        <f>IF(OR(J471&lt;I471,L471&lt;I471),"FAIL","PASS")</f>
        <v/>
      </c>
    </row>
    <row r="472">
      <c r="L472">
        <f>IF(D472="","",J472+K472)</f>
        <v/>
      </c>
      <c r="M472" s="9">
        <f>IFERROR(L472/H472*100,"")</f>
        <v/>
      </c>
      <c r="N472">
        <f>IF(M472="","",IF(M472&gt;=90,"A+",IF(M472&gt;=80,"A",IF(M472&gt;=70,"B+",IF(M472&gt;=60,"B",IF(M472&gt;=50,"C+",IF(M472&gt;=40,"C","F")))))))</f>
        <v/>
      </c>
      <c r="O472">
        <f>IF(OR(J472&lt;I472,L472&lt;I472),"FAIL","PASS")</f>
        <v/>
      </c>
    </row>
    <row r="473">
      <c r="L473">
        <f>IF(D473="","",J473+K473)</f>
        <v/>
      </c>
      <c r="M473" s="9">
        <f>IFERROR(L473/H473*100,"")</f>
        <v/>
      </c>
      <c r="N473">
        <f>IF(M473="","",IF(M473&gt;=90,"A+",IF(M473&gt;=80,"A",IF(M473&gt;=70,"B+",IF(M473&gt;=60,"B",IF(M473&gt;=50,"C+",IF(M473&gt;=40,"C","F")))))))</f>
        <v/>
      </c>
      <c r="O473">
        <f>IF(OR(J473&lt;I473,L473&lt;I473),"FAIL","PASS")</f>
        <v/>
      </c>
    </row>
    <row r="474">
      <c r="L474">
        <f>IF(D474="","",J474+K474)</f>
        <v/>
      </c>
      <c r="M474" s="9">
        <f>IFERROR(L474/H474*100,"")</f>
        <v/>
      </c>
      <c r="N474">
        <f>IF(M474="","",IF(M474&gt;=90,"A+",IF(M474&gt;=80,"A",IF(M474&gt;=70,"B+",IF(M474&gt;=60,"B",IF(M474&gt;=50,"C+",IF(M474&gt;=40,"C","F")))))))</f>
        <v/>
      </c>
      <c r="O474">
        <f>IF(OR(J474&lt;I474,L474&lt;I474),"FAIL","PASS")</f>
        <v/>
      </c>
    </row>
    <row r="475">
      <c r="L475">
        <f>IF(D475="","",J475+K475)</f>
        <v/>
      </c>
      <c r="M475" s="9">
        <f>IFERROR(L475/H475*100,"")</f>
        <v/>
      </c>
      <c r="N475">
        <f>IF(M475="","",IF(M475&gt;=90,"A+",IF(M475&gt;=80,"A",IF(M475&gt;=70,"B+",IF(M475&gt;=60,"B",IF(M475&gt;=50,"C+",IF(M475&gt;=40,"C","F")))))))</f>
        <v/>
      </c>
      <c r="O475">
        <f>IF(OR(J475&lt;I475,L475&lt;I475),"FAIL","PASS")</f>
        <v/>
      </c>
    </row>
    <row r="476">
      <c r="L476">
        <f>IF(D476="","",J476+K476)</f>
        <v/>
      </c>
      <c r="M476" s="9">
        <f>IFERROR(L476/H476*100,"")</f>
        <v/>
      </c>
      <c r="N476">
        <f>IF(M476="","",IF(M476&gt;=90,"A+",IF(M476&gt;=80,"A",IF(M476&gt;=70,"B+",IF(M476&gt;=60,"B",IF(M476&gt;=50,"C+",IF(M476&gt;=40,"C","F")))))))</f>
        <v/>
      </c>
      <c r="O476">
        <f>IF(OR(J476&lt;I476,L476&lt;I476),"FAIL","PASS")</f>
        <v/>
      </c>
    </row>
    <row r="477">
      <c r="L477">
        <f>IF(D477="","",J477+K477)</f>
        <v/>
      </c>
      <c r="M477" s="9">
        <f>IFERROR(L477/H477*100,"")</f>
        <v/>
      </c>
      <c r="N477">
        <f>IF(M477="","",IF(M477&gt;=90,"A+",IF(M477&gt;=80,"A",IF(M477&gt;=70,"B+",IF(M477&gt;=60,"B",IF(M477&gt;=50,"C+",IF(M477&gt;=40,"C","F")))))))</f>
        <v/>
      </c>
      <c r="O477">
        <f>IF(OR(J477&lt;I477,L477&lt;I477),"FAIL","PASS")</f>
        <v/>
      </c>
    </row>
    <row r="478">
      <c r="L478">
        <f>IF(D478="","",J478+K478)</f>
        <v/>
      </c>
      <c r="M478" s="9">
        <f>IFERROR(L478/H478*100,"")</f>
        <v/>
      </c>
      <c r="N478">
        <f>IF(M478="","",IF(M478&gt;=90,"A+",IF(M478&gt;=80,"A",IF(M478&gt;=70,"B+",IF(M478&gt;=60,"B",IF(M478&gt;=50,"C+",IF(M478&gt;=40,"C","F")))))))</f>
        <v/>
      </c>
      <c r="O478">
        <f>IF(OR(J478&lt;I478,L478&lt;I478),"FAIL","PASS")</f>
        <v/>
      </c>
    </row>
    <row r="479">
      <c r="L479">
        <f>IF(D479="","",J479+K479)</f>
        <v/>
      </c>
      <c r="M479" s="9">
        <f>IFERROR(L479/H479*100,"")</f>
        <v/>
      </c>
      <c r="N479">
        <f>IF(M479="","",IF(M479&gt;=90,"A+",IF(M479&gt;=80,"A",IF(M479&gt;=70,"B+",IF(M479&gt;=60,"B",IF(M479&gt;=50,"C+",IF(M479&gt;=40,"C","F")))))))</f>
        <v/>
      </c>
      <c r="O479">
        <f>IF(OR(J479&lt;I479,L479&lt;I479),"FAIL","PASS")</f>
        <v/>
      </c>
    </row>
    <row r="480">
      <c r="L480">
        <f>IF(D480="","",J480+K480)</f>
        <v/>
      </c>
      <c r="M480" s="9">
        <f>IFERROR(L480/H480*100,"")</f>
        <v/>
      </c>
      <c r="N480">
        <f>IF(M480="","",IF(M480&gt;=90,"A+",IF(M480&gt;=80,"A",IF(M480&gt;=70,"B+",IF(M480&gt;=60,"B",IF(M480&gt;=50,"C+",IF(M480&gt;=40,"C","F")))))))</f>
        <v/>
      </c>
      <c r="O480">
        <f>IF(OR(J480&lt;I480,L480&lt;I480),"FAIL","PASS")</f>
        <v/>
      </c>
    </row>
    <row r="481">
      <c r="L481">
        <f>IF(D481="","",J481+K481)</f>
        <v/>
      </c>
      <c r="M481" s="9">
        <f>IFERROR(L481/H481*100,"")</f>
        <v/>
      </c>
      <c r="N481">
        <f>IF(M481="","",IF(M481&gt;=90,"A+",IF(M481&gt;=80,"A",IF(M481&gt;=70,"B+",IF(M481&gt;=60,"B",IF(M481&gt;=50,"C+",IF(M481&gt;=40,"C","F")))))))</f>
        <v/>
      </c>
      <c r="O481">
        <f>IF(OR(J481&lt;I481,L481&lt;I481),"FAIL","PASS")</f>
        <v/>
      </c>
    </row>
    <row r="482">
      <c r="L482">
        <f>IF(D482="","",J482+K482)</f>
        <v/>
      </c>
      <c r="M482" s="9">
        <f>IFERROR(L482/H482*100,"")</f>
        <v/>
      </c>
      <c r="N482">
        <f>IF(M482="","",IF(M482&gt;=90,"A+",IF(M482&gt;=80,"A",IF(M482&gt;=70,"B+",IF(M482&gt;=60,"B",IF(M482&gt;=50,"C+",IF(M482&gt;=40,"C","F")))))))</f>
        <v/>
      </c>
      <c r="O482">
        <f>IF(OR(J482&lt;I482,L482&lt;I482),"FAIL","PASS")</f>
        <v/>
      </c>
    </row>
    <row r="483">
      <c r="L483">
        <f>IF(D483="","",J483+K483)</f>
        <v/>
      </c>
      <c r="M483" s="9">
        <f>IFERROR(L483/H483*100,"")</f>
        <v/>
      </c>
      <c r="N483">
        <f>IF(M483="","",IF(M483&gt;=90,"A+",IF(M483&gt;=80,"A",IF(M483&gt;=70,"B+",IF(M483&gt;=60,"B",IF(M483&gt;=50,"C+",IF(M483&gt;=40,"C","F")))))))</f>
        <v/>
      </c>
      <c r="O483">
        <f>IF(OR(J483&lt;I483,L483&lt;I483),"FAIL","PASS")</f>
        <v/>
      </c>
    </row>
    <row r="484">
      <c r="L484">
        <f>IF(D484="","",J484+K484)</f>
        <v/>
      </c>
      <c r="M484" s="9">
        <f>IFERROR(L484/H484*100,"")</f>
        <v/>
      </c>
      <c r="N484">
        <f>IF(M484="","",IF(M484&gt;=90,"A+",IF(M484&gt;=80,"A",IF(M484&gt;=70,"B+",IF(M484&gt;=60,"B",IF(M484&gt;=50,"C+",IF(M484&gt;=40,"C","F")))))))</f>
        <v/>
      </c>
      <c r="O484">
        <f>IF(OR(J484&lt;I484,L484&lt;I484),"FAIL","PASS")</f>
        <v/>
      </c>
    </row>
    <row r="485">
      <c r="L485">
        <f>IF(D485="","",J485+K485)</f>
        <v/>
      </c>
      <c r="M485" s="9">
        <f>IFERROR(L485/H485*100,"")</f>
        <v/>
      </c>
      <c r="N485">
        <f>IF(M485="","",IF(M485&gt;=90,"A+",IF(M485&gt;=80,"A",IF(M485&gt;=70,"B+",IF(M485&gt;=60,"B",IF(M485&gt;=50,"C+",IF(M485&gt;=40,"C","F")))))))</f>
        <v/>
      </c>
      <c r="O485">
        <f>IF(OR(J485&lt;I485,L485&lt;I485),"FAIL","PASS")</f>
        <v/>
      </c>
    </row>
    <row r="486">
      <c r="L486">
        <f>IF(D486="","",J486+K486)</f>
        <v/>
      </c>
      <c r="M486" s="9">
        <f>IFERROR(L486/H486*100,"")</f>
        <v/>
      </c>
      <c r="N486">
        <f>IF(M486="","",IF(M486&gt;=90,"A+",IF(M486&gt;=80,"A",IF(M486&gt;=70,"B+",IF(M486&gt;=60,"B",IF(M486&gt;=50,"C+",IF(M486&gt;=40,"C","F")))))))</f>
        <v/>
      </c>
      <c r="O486">
        <f>IF(OR(J486&lt;I486,L486&lt;I486),"FAIL","PASS")</f>
        <v/>
      </c>
    </row>
    <row r="487">
      <c r="L487">
        <f>IF(D487="","",J487+K487)</f>
        <v/>
      </c>
      <c r="M487" s="9">
        <f>IFERROR(L487/H487*100,"")</f>
        <v/>
      </c>
      <c r="N487">
        <f>IF(M487="","",IF(M487&gt;=90,"A+",IF(M487&gt;=80,"A",IF(M487&gt;=70,"B+",IF(M487&gt;=60,"B",IF(M487&gt;=50,"C+",IF(M487&gt;=40,"C","F")))))))</f>
        <v/>
      </c>
      <c r="O487">
        <f>IF(OR(J487&lt;I487,L487&lt;I487),"FAIL","PASS")</f>
        <v/>
      </c>
    </row>
    <row r="488">
      <c r="L488">
        <f>IF(D488="","",J488+K488)</f>
        <v/>
      </c>
      <c r="M488" s="9">
        <f>IFERROR(L488/H488*100,"")</f>
        <v/>
      </c>
      <c r="N488">
        <f>IF(M488="","",IF(M488&gt;=90,"A+",IF(M488&gt;=80,"A",IF(M488&gt;=70,"B+",IF(M488&gt;=60,"B",IF(M488&gt;=50,"C+",IF(M488&gt;=40,"C","F")))))))</f>
        <v/>
      </c>
      <c r="O488">
        <f>IF(OR(J488&lt;I488,L488&lt;I488),"FAIL","PASS")</f>
        <v/>
      </c>
    </row>
    <row r="489">
      <c r="L489">
        <f>IF(D489="","",J489+K489)</f>
        <v/>
      </c>
      <c r="M489" s="9">
        <f>IFERROR(L489/H489*100,"")</f>
        <v/>
      </c>
      <c r="N489">
        <f>IF(M489="","",IF(M489&gt;=90,"A+",IF(M489&gt;=80,"A",IF(M489&gt;=70,"B+",IF(M489&gt;=60,"B",IF(M489&gt;=50,"C+",IF(M489&gt;=40,"C","F")))))))</f>
        <v/>
      </c>
      <c r="O489">
        <f>IF(OR(J489&lt;I489,L489&lt;I489),"FAIL","PASS")</f>
        <v/>
      </c>
    </row>
    <row r="490">
      <c r="L490">
        <f>IF(D490="","",J490+K490)</f>
        <v/>
      </c>
      <c r="M490" s="9">
        <f>IFERROR(L490/H490*100,"")</f>
        <v/>
      </c>
      <c r="N490">
        <f>IF(M490="","",IF(M490&gt;=90,"A+",IF(M490&gt;=80,"A",IF(M490&gt;=70,"B+",IF(M490&gt;=60,"B",IF(M490&gt;=50,"C+",IF(M490&gt;=40,"C","F")))))))</f>
        <v/>
      </c>
      <c r="O490">
        <f>IF(OR(J490&lt;I490,L490&lt;I490),"FAIL","PASS")</f>
        <v/>
      </c>
    </row>
    <row r="491">
      <c r="L491">
        <f>IF(D491="","",J491+K491)</f>
        <v/>
      </c>
      <c r="M491" s="9">
        <f>IFERROR(L491/H491*100,"")</f>
        <v/>
      </c>
      <c r="N491">
        <f>IF(M491="","",IF(M491&gt;=90,"A+",IF(M491&gt;=80,"A",IF(M491&gt;=70,"B+",IF(M491&gt;=60,"B",IF(M491&gt;=50,"C+",IF(M491&gt;=40,"C","F")))))))</f>
        <v/>
      </c>
      <c r="O491">
        <f>IF(OR(J491&lt;I491,L491&lt;I491),"FAIL","PASS")</f>
        <v/>
      </c>
    </row>
    <row r="492">
      <c r="L492">
        <f>IF(D492="","",J492+K492)</f>
        <v/>
      </c>
      <c r="M492" s="9">
        <f>IFERROR(L492/H492*100,"")</f>
        <v/>
      </c>
      <c r="N492">
        <f>IF(M492="","",IF(M492&gt;=90,"A+",IF(M492&gt;=80,"A",IF(M492&gt;=70,"B+",IF(M492&gt;=60,"B",IF(M492&gt;=50,"C+",IF(M492&gt;=40,"C","F")))))))</f>
        <v/>
      </c>
      <c r="O492">
        <f>IF(OR(J492&lt;I492,L492&lt;I492),"FAIL","PASS")</f>
        <v/>
      </c>
    </row>
    <row r="493">
      <c r="L493">
        <f>IF(D493="","",J493+K493)</f>
        <v/>
      </c>
      <c r="M493" s="9">
        <f>IFERROR(L493/H493*100,"")</f>
        <v/>
      </c>
      <c r="N493">
        <f>IF(M493="","",IF(M493&gt;=90,"A+",IF(M493&gt;=80,"A",IF(M493&gt;=70,"B+",IF(M493&gt;=60,"B",IF(M493&gt;=50,"C+",IF(M493&gt;=40,"C","F")))))))</f>
        <v/>
      </c>
      <c r="O493">
        <f>IF(OR(J493&lt;I493,L493&lt;I493),"FAIL","PASS")</f>
        <v/>
      </c>
    </row>
    <row r="494">
      <c r="L494">
        <f>IF(D494="","",J494+K494)</f>
        <v/>
      </c>
      <c r="M494" s="9">
        <f>IFERROR(L494/H494*100,"")</f>
        <v/>
      </c>
      <c r="N494">
        <f>IF(M494="","",IF(M494&gt;=90,"A+",IF(M494&gt;=80,"A",IF(M494&gt;=70,"B+",IF(M494&gt;=60,"B",IF(M494&gt;=50,"C+",IF(M494&gt;=40,"C","F")))))))</f>
        <v/>
      </c>
      <c r="O494">
        <f>IF(OR(J494&lt;I494,L494&lt;I494),"FAIL","PASS")</f>
        <v/>
      </c>
    </row>
    <row r="495">
      <c r="L495">
        <f>IF(D495="","",J495+K495)</f>
        <v/>
      </c>
      <c r="M495" s="9">
        <f>IFERROR(L495/H495*100,"")</f>
        <v/>
      </c>
      <c r="N495">
        <f>IF(M495="","",IF(M495&gt;=90,"A+",IF(M495&gt;=80,"A",IF(M495&gt;=70,"B+",IF(M495&gt;=60,"B",IF(M495&gt;=50,"C+",IF(M495&gt;=40,"C","F")))))))</f>
        <v/>
      </c>
      <c r="O495">
        <f>IF(OR(J495&lt;I495,L495&lt;I495),"FAIL","PASS")</f>
        <v/>
      </c>
    </row>
    <row r="496">
      <c r="L496">
        <f>IF(D496="","",J496+K496)</f>
        <v/>
      </c>
      <c r="M496" s="9">
        <f>IFERROR(L496/H496*100,"")</f>
        <v/>
      </c>
      <c r="N496">
        <f>IF(M496="","",IF(M496&gt;=90,"A+",IF(M496&gt;=80,"A",IF(M496&gt;=70,"B+",IF(M496&gt;=60,"B",IF(M496&gt;=50,"C+",IF(M496&gt;=40,"C","F")))))))</f>
        <v/>
      </c>
      <c r="O496">
        <f>IF(OR(J496&lt;I496,L496&lt;I496),"FAIL","PASS")</f>
        <v/>
      </c>
    </row>
    <row r="497">
      <c r="L497">
        <f>IF(D497="","",J497+K497)</f>
        <v/>
      </c>
      <c r="M497" s="9">
        <f>IFERROR(L497/H497*100,"")</f>
        <v/>
      </c>
      <c r="N497">
        <f>IF(M497="","",IF(M497&gt;=90,"A+",IF(M497&gt;=80,"A",IF(M497&gt;=70,"B+",IF(M497&gt;=60,"B",IF(M497&gt;=50,"C+",IF(M497&gt;=40,"C","F")))))))</f>
        <v/>
      </c>
      <c r="O497">
        <f>IF(OR(J497&lt;I497,L497&lt;I497),"FAIL","PASS")</f>
        <v/>
      </c>
    </row>
    <row r="498">
      <c r="L498">
        <f>IF(D498="","",J498+K498)</f>
        <v/>
      </c>
      <c r="M498" s="9">
        <f>IFERROR(L498/H498*100,"")</f>
        <v/>
      </c>
      <c r="N498">
        <f>IF(M498="","",IF(M498&gt;=90,"A+",IF(M498&gt;=80,"A",IF(M498&gt;=70,"B+",IF(M498&gt;=60,"B",IF(M498&gt;=50,"C+",IF(M498&gt;=40,"C","F")))))))</f>
        <v/>
      </c>
      <c r="O498">
        <f>IF(OR(J498&lt;I498,L498&lt;I498),"FAIL","PASS")</f>
        <v/>
      </c>
    </row>
    <row r="499">
      <c r="L499">
        <f>IF(D499="","",J499+K499)</f>
        <v/>
      </c>
      <c r="M499" s="9">
        <f>IFERROR(L499/H499*100,"")</f>
        <v/>
      </c>
      <c r="N499">
        <f>IF(M499="","",IF(M499&gt;=90,"A+",IF(M499&gt;=80,"A",IF(M499&gt;=70,"B+",IF(M499&gt;=60,"B",IF(M499&gt;=50,"C+",IF(M499&gt;=40,"C","F")))))))</f>
        <v/>
      </c>
      <c r="O499">
        <f>IF(OR(J499&lt;I499,L499&lt;I499),"FAIL","PASS")</f>
        <v/>
      </c>
    </row>
    <row r="500">
      <c r="L500">
        <f>IF(D500="","",J500+K500)</f>
        <v/>
      </c>
      <c r="M500" s="9">
        <f>IFERROR(L500/H500*100,"")</f>
        <v/>
      </c>
      <c r="N500">
        <f>IF(M500="","",IF(M500&gt;=90,"A+",IF(M500&gt;=80,"A",IF(M500&gt;=70,"B+",IF(M500&gt;=60,"B",IF(M500&gt;=50,"C+",IF(M500&gt;=40,"C","F")))))))</f>
        <v/>
      </c>
      <c r="O500">
        <f>IF(OR(J500&lt;I500,L500&lt;I500),"FAIL","PASS")</f>
        <v/>
      </c>
    </row>
    <row r="501">
      <c r="L501">
        <f>IF(D501="","",J501+K501)</f>
        <v/>
      </c>
      <c r="M501" s="9">
        <f>IFERROR(L501/H501*100,"")</f>
        <v/>
      </c>
      <c r="N501">
        <f>IF(M501="","",IF(M501&gt;=90,"A+",IF(M501&gt;=80,"A",IF(M501&gt;=70,"B+",IF(M501&gt;=60,"B",IF(M501&gt;=50,"C+",IF(M501&gt;=40,"C","F")))))))</f>
        <v/>
      </c>
      <c r="O501">
        <f>IF(OR(J501&lt;I501,L501&lt;I501),"FAIL","PASS")</f>
        <v/>
      </c>
    </row>
    <row r="502">
      <c r="L502">
        <f>IF(D502="","",J502+K502)</f>
        <v/>
      </c>
      <c r="M502" s="9">
        <f>IFERROR(L502/H502*100,"")</f>
        <v/>
      </c>
      <c r="N502">
        <f>IF(M502="","",IF(M502&gt;=90,"A+",IF(M502&gt;=80,"A",IF(M502&gt;=70,"B+",IF(M502&gt;=60,"B",IF(M502&gt;=50,"C+",IF(M502&gt;=40,"C","F")))))))</f>
        <v/>
      </c>
      <c r="O502">
        <f>IF(OR(J502&lt;I502,L502&lt;I502),"FAIL","PASS")</f>
        <v/>
      </c>
    </row>
    <row r="503">
      <c r="L503">
        <f>IF(D503="","",J503+K503)</f>
        <v/>
      </c>
      <c r="M503" s="9">
        <f>IFERROR(L503/H503*100,"")</f>
        <v/>
      </c>
      <c r="N503">
        <f>IF(M503="","",IF(M503&gt;=90,"A+",IF(M503&gt;=80,"A",IF(M503&gt;=70,"B+",IF(M503&gt;=60,"B",IF(M503&gt;=50,"C+",IF(M503&gt;=40,"C","F")))))))</f>
        <v/>
      </c>
      <c r="O503">
        <f>IF(OR(J503&lt;I503,L503&lt;I503),"FAIL","PASS")</f>
        <v/>
      </c>
    </row>
  </sheetData>
  <mergeCells count="1">
    <mergeCell ref="A1:P1"/>
  </mergeCells>
  <conditionalFormatting sqref="O4:O503">
    <cfRule type="cellIs" priority="1" operator="equal" dxfId="0">
      <formula>"FAIL"</formula>
    </cfRule>
    <cfRule type="cellIs" priority="2" operator="equal" dxfId="1">
      <formula>"PASS"</formula>
    </cfRule>
  </conditionalFormatting>
  <dataValidations count="1">
    <dataValidation sqref="A4:A503" showDropDown="0" showInputMessage="0" showErrorMessage="0" allowBlank="1" type="list">
      <formula1>=Settings!$B$9:$E$9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0" customWidth="1" min="4" max="4"/>
    <col width="15" customWidth="1" min="5" max="5"/>
    <col width="12" customWidth="1" min="6" max="6"/>
    <col width="17" customWidth="1" min="7" max="7"/>
    <col width="17" customWidth="1" min="8" max="8"/>
    <col width="14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" t="inlineStr">
        <is>
          <t>Student Result Summary</t>
        </is>
      </c>
    </row>
    <row r="3">
      <c r="A3" s="7" t="inlineStr">
        <is>
          <t>Student ID</t>
        </is>
      </c>
      <c r="B3" s="7" t="inlineStr">
        <is>
          <t>Student Name</t>
        </is>
      </c>
      <c r="C3" s="7" t="inlineStr">
        <is>
          <t>Class</t>
        </is>
      </c>
      <c r="D3" s="7" t="inlineStr">
        <is>
          <t>Section</t>
        </is>
      </c>
      <c r="E3" s="7" t="inlineStr">
        <is>
          <t>Exam</t>
        </is>
      </c>
      <c r="F3" s="7" t="inlineStr">
        <is>
          <t>Subjects</t>
        </is>
      </c>
      <c r="G3" s="7" t="inlineStr">
        <is>
          <t>Total Obtained</t>
        </is>
      </c>
      <c r="H3" s="7" t="inlineStr">
        <is>
          <t>Total Full Marks</t>
        </is>
      </c>
      <c r="I3" s="7" t="inlineStr">
        <is>
          <t>Percentage</t>
        </is>
      </c>
      <c r="J3" s="7" t="inlineStr">
        <is>
          <t>Grade</t>
        </is>
      </c>
      <c r="K3" s="7" t="inlineStr">
        <is>
          <t>Result</t>
        </is>
      </c>
      <c r="L3" s="7" t="inlineStr">
        <is>
          <t>Rank</t>
        </is>
      </c>
    </row>
    <row r="4">
      <c r="F4">
        <f>IF(B4="","",COUNTIFS(Marks!$D$4:$D$503,B4,Marks!$A$4:$A$503,E4))</f>
        <v/>
      </c>
      <c r="G4">
        <f>IF(B4="","",SUMIFS(Marks!$L$4:$L$503,Marks!$D$4:$D$503,B4,Marks!$A$4:$A$503,E4))</f>
        <v/>
      </c>
      <c r="H4">
        <f>IF(B4="","",SUMIFS(Marks!$H$4:$H$503,Marks!$D$4:$D$503,B4,Marks!$A$4:$A$503,E4))</f>
        <v/>
      </c>
      <c r="I4" s="9">
        <f>IFERROR(G4/H4*100,"")</f>
        <v/>
      </c>
      <c r="J4">
        <f>IF(I4="","",IF(I4&gt;=90,"A+",IF(I4&gt;=80,"A",IF(I4&gt;=70,"B+",IF(I4&gt;=60,"B",IF(I4&gt;=50,"C+",IF(I4&gt;=40,"C","F")))))))</f>
        <v/>
      </c>
      <c r="K4">
        <f>IF(COUNTIFS(Marks!$D$4:$D$503,B4,Marks!$A$4:$A$503,E4,Marks!$O$4:$O$503,"FAIL")&gt;0,"FAIL","PASS")</f>
        <v/>
      </c>
    </row>
    <row r="5">
      <c r="F5">
        <f>IF(B5="","",COUNTIFS(Marks!$D$4:$D$503,B5,Marks!$A$4:$A$503,E5))</f>
        <v/>
      </c>
      <c r="G5">
        <f>IF(B5="","",SUMIFS(Marks!$L$4:$L$503,Marks!$D$4:$D$503,B5,Marks!$A$4:$A$503,E5))</f>
        <v/>
      </c>
      <c r="H5">
        <f>IF(B5="","",SUMIFS(Marks!$H$4:$H$503,Marks!$D$4:$D$503,B5,Marks!$A$4:$A$503,E5))</f>
        <v/>
      </c>
      <c r="I5" s="9">
        <f>IFERROR(G5/H5*100,"")</f>
        <v/>
      </c>
      <c r="J5">
        <f>IF(I5="","",IF(I5&gt;=90,"A+",IF(I5&gt;=80,"A",IF(I5&gt;=70,"B+",IF(I5&gt;=60,"B",IF(I5&gt;=50,"C+",IF(I5&gt;=40,"C","F")))))))</f>
        <v/>
      </c>
      <c r="K5">
        <f>IF(COUNTIFS(Marks!$D$4:$D$503,B5,Marks!$A$4:$A$503,E5,Marks!$O$4:$O$503,"FAIL")&gt;0,"FAIL","PASS")</f>
        <v/>
      </c>
    </row>
    <row r="6">
      <c r="F6">
        <f>IF(B6="","",COUNTIFS(Marks!$D$4:$D$503,B6,Marks!$A$4:$A$503,E6))</f>
        <v/>
      </c>
      <c r="G6">
        <f>IF(B6="","",SUMIFS(Marks!$L$4:$L$503,Marks!$D$4:$D$503,B6,Marks!$A$4:$A$503,E6))</f>
        <v/>
      </c>
      <c r="H6">
        <f>IF(B6="","",SUMIFS(Marks!$H$4:$H$503,Marks!$D$4:$D$503,B6,Marks!$A$4:$A$503,E6))</f>
        <v/>
      </c>
      <c r="I6" s="9">
        <f>IFERROR(G6/H6*100,"")</f>
        <v/>
      </c>
      <c r="J6">
        <f>IF(I6="","",IF(I6&gt;=90,"A+",IF(I6&gt;=80,"A",IF(I6&gt;=70,"B+",IF(I6&gt;=60,"B",IF(I6&gt;=50,"C+",IF(I6&gt;=40,"C","F")))))))</f>
        <v/>
      </c>
      <c r="K6">
        <f>IF(COUNTIFS(Marks!$D$4:$D$503,B6,Marks!$A$4:$A$503,E6,Marks!$O$4:$O$503,"FAIL")&gt;0,"FAIL","PASS")</f>
        <v/>
      </c>
    </row>
    <row r="7">
      <c r="F7">
        <f>IF(B7="","",COUNTIFS(Marks!$D$4:$D$503,B7,Marks!$A$4:$A$503,E7))</f>
        <v/>
      </c>
      <c r="G7">
        <f>IF(B7="","",SUMIFS(Marks!$L$4:$L$503,Marks!$D$4:$D$503,B7,Marks!$A$4:$A$503,E7))</f>
        <v/>
      </c>
      <c r="H7">
        <f>IF(B7="","",SUMIFS(Marks!$H$4:$H$503,Marks!$D$4:$D$503,B7,Marks!$A$4:$A$503,E7))</f>
        <v/>
      </c>
      <c r="I7" s="9">
        <f>IFERROR(G7/H7*100,"")</f>
        <v/>
      </c>
      <c r="J7">
        <f>IF(I7="","",IF(I7&gt;=90,"A+",IF(I7&gt;=80,"A",IF(I7&gt;=70,"B+",IF(I7&gt;=60,"B",IF(I7&gt;=50,"C+",IF(I7&gt;=40,"C","F")))))))</f>
        <v/>
      </c>
      <c r="K7">
        <f>IF(COUNTIFS(Marks!$D$4:$D$503,B7,Marks!$A$4:$A$503,E7,Marks!$O$4:$O$503,"FAIL")&gt;0,"FAIL","PASS")</f>
        <v/>
      </c>
    </row>
    <row r="8">
      <c r="F8">
        <f>IF(B8="","",COUNTIFS(Marks!$D$4:$D$503,B8,Marks!$A$4:$A$503,E8))</f>
        <v/>
      </c>
      <c r="G8">
        <f>IF(B8="","",SUMIFS(Marks!$L$4:$L$503,Marks!$D$4:$D$503,B8,Marks!$A$4:$A$503,E8))</f>
        <v/>
      </c>
      <c r="H8">
        <f>IF(B8="","",SUMIFS(Marks!$H$4:$H$503,Marks!$D$4:$D$503,B8,Marks!$A$4:$A$503,E8))</f>
        <v/>
      </c>
      <c r="I8" s="9">
        <f>IFERROR(G8/H8*100,"")</f>
        <v/>
      </c>
      <c r="J8">
        <f>IF(I8="","",IF(I8&gt;=90,"A+",IF(I8&gt;=80,"A",IF(I8&gt;=70,"B+",IF(I8&gt;=60,"B",IF(I8&gt;=50,"C+",IF(I8&gt;=40,"C","F")))))))</f>
        <v/>
      </c>
      <c r="K8">
        <f>IF(COUNTIFS(Marks!$D$4:$D$503,B8,Marks!$A$4:$A$503,E8,Marks!$O$4:$O$503,"FAIL")&gt;0,"FAIL","PASS")</f>
        <v/>
      </c>
    </row>
    <row r="9">
      <c r="F9">
        <f>IF(B9="","",COUNTIFS(Marks!$D$4:$D$503,B9,Marks!$A$4:$A$503,E9))</f>
        <v/>
      </c>
      <c r="G9">
        <f>IF(B9="","",SUMIFS(Marks!$L$4:$L$503,Marks!$D$4:$D$503,B9,Marks!$A$4:$A$503,E9))</f>
        <v/>
      </c>
      <c r="H9">
        <f>IF(B9="","",SUMIFS(Marks!$H$4:$H$503,Marks!$D$4:$D$503,B9,Marks!$A$4:$A$503,E9))</f>
        <v/>
      </c>
      <c r="I9" s="9">
        <f>IFERROR(G9/H9*100,"")</f>
        <v/>
      </c>
      <c r="J9">
        <f>IF(I9="","",IF(I9&gt;=90,"A+",IF(I9&gt;=80,"A",IF(I9&gt;=70,"B+",IF(I9&gt;=60,"B",IF(I9&gt;=50,"C+",IF(I9&gt;=40,"C","F")))))))</f>
        <v/>
      </c>
      <c r="K9">
        <f>IF(COUNTIFS(Marks!$D$4:$D$503,B9,Marks!$A$4:$A$503,E9,Marks!$O$4:$O$503,"FAIL")&gt;0,"FAIL","PASS")</f>
        <v/>
      </c>
    </row>
    <row r="10">
      <c r="F10">
        <f>IF(B10="","",COUNTIFS(Marks!$D$4:$D$503,B10,Marks!$A$4:$A$503,E10))</f>
        <v/>
      </c>
      <c r="G10">
        <f>IF(B10="","",SUMIFS(Marks!$L$4:$L$503,Marks!$D$4:$D$503,B10,Marks!$A$4:$A$503,E10))</f>
        <v/>
      </c>
      <c r="H10">
        <f>IF(B10="","",SUMIFS(Marks!$H$4:$H$503,Marks!$D$4:$D$503,B10,Marks!$A$4:$A$503,E10))</f>
        <v/>
      </c>
      <c r="I10" s="9">
        <f>IFERROR(G10/H10*100,"")</f>
        <v/>
      </c>
      <c r="J10">
        <f>IF(I10="","",IF(I10&gt;=90,"A+",IF(I10&gt;=80,"A",IF(I10&gt;=70,"B+",IF(I10&gt;=60,"B",IF(I10&gt;=50,"C+",IF(I10&gt;=40,"C","F")))))))</f>
        <v/>
      </c>
      <c r="K10">
        <f>IF(COUNTIFS(Marks!$D$4:$D$503,B10,Marks!$A$4:$A$503,E10,Marks!$O$4:$O$503,"FAIL")&gt;0,"FAIL","PASS")</f>
        <v/>
      </c>
    </row>
    <row r="11">
      <c r="F11">
        <f>IF(B11="","",COUNTIFS(Marks!$D$4:$D$503,B11,Marks!$A$4:$A$503,E11))</f>
        <v/>
      </c>
      <c r="G11">
        <f>IF(B11="","",SUMIFS(Marks!$L$4:$L$503,Marks!$D$4:$D$503,B11,Marks!$A$4:$A$503,E11))</f>
        <v/>
      </c>
      <c r="H11">
        <f>IF(B11="","",SUMIFS(Marks!$H$4:$H$503,Marks!$D$4:$D$503,B11,Marks!$A$4:$A$503,E11))</f>
        <v/>
      </c>
      <c r="I11" s="9">
        <f>IFERROR(G11/H11*100,"")</f>
        <v/>
      </c>
      <c r="J11">
        <f>IF(I11="","",IF(I11&gt;=90,"A+",IF(I11&gt;=80,"A",IF(I11&gt;=70,"B+",IF(I11&gt;=60,"B",IF(I11&gt;=50,"C+",IF(I11&gt;=40,"C","F")))))))</f>
        <v/>
      </c>
      <c r="K11">
        <f>IF(COUNTIFS(Marks!$D$4:$D$503,B11,Marks!$A$4:$A$503,E11,Marks!$O$4:$O$503,"FAIL")&gt;0,"FAIL","PASS")</f>
        <v/>
      </c>
    </row>
    <row r="12">
      <c r="F12">
        <f>IF(B12="","",COUNTIFS(Marks!$D$4:$D$503,B12,Marks!$A$4:$A$503,E12))</f>
        <v/>
      </c>
      <c r="G12">
        <f>IF(B12="","",SUMIFS(Marks!$L$4:$L$503,Marks!$D$4:$D$503,B12,Marks!$A$4:$A$503,E12))</f>
        <v/>
      </c>
      <c r="H12">
        <f>IF(B12="","",SUMIFS(Marks!$H$4:$H$503,Marks!$D$4:$D$503,B12,Marks!$A$4:$A$503,E12))</f>
        <v/>
      </c>
      <c r="I12" s="9">
        <f>IFERROR(G12/H12*100,"")</f>
        <v/>
      </c>
      <c r="J12">
        <f>IF(I12="","",IF(I12&gt;=90,"A+",IF(I12&gt;=80,"A",IF(I12&gt;=70,"B+",IF(I12&gt;=60,"B",IF(I12&gt;=50,"C+",IF(I12&gt;=40,"C","F")))))))</f>
        <v/>
      </c>
      <c r="K12">
        <f>IF(COUNTIFS(Marks!$D$4:$D$503,B12,Marks!$A$4:$A$503,E12,Marks!$O$4:$O$503,"FAIL")&gt;0,"FAIL","PASS")</f>
        <v/>
      </c>
    </row>
    <row r="13">
      <c r="F13">
        <f>IF(B13="","",COUNTIFS(Marks!$D$4:$D$503,B13,Marks!$A$4:$A$503,E13))</f>
        <v/>
      </c>
      <c r="G13">
        <f>IF(B13="","",SUMIFS(Marks!$L$4:$L$503,Marks!$D$4:$D$503,B13,Marks!$A$4:$A$503,E13))</f>
        <v/>
      </c>
      <c r="H13">
        <f>IF(B13="","",SUMIFS(Marks!$H$4:$H$503,Marks!$D$4:$D$503,B13,Marks!$A$4:$A$503,E13))</f>
        <v/>
      </c>
      <c r="I13" s="9">
        <f>IFERROR(G13/H13*100,"")</f>
        <v/>
      </c>
      <c r="J13">
        <f>IF(I13="","",IF(I13&gt;=90,"A+",IF(I13&gt;=80,"A",IF(I13&gt;=70,"B+",IF(I13&gt;=60,"B",IF(I13&gt;=50,"C+",IF(I13&gt;=40,"C","F")))))))</f>
        <v/>
      </c>
      <c r="K13">
        <f>IF(COUNTIFS(Marks!$D$4:$D$503,B13,Marks!$A$4:$A$503,E13,Marks!$O$4:$O$503,"FAIL")&gt;0,"FAIL","PASS")</f>
        <v/>
      </c>
    </row>
    <row r="14">
      <c r="F14">
        <f>IF(B14="","",COUNTIFS(Marks!$D$4:$D$503,B14,Marks!$A$4:$A$503,E14))</f>
        <v/>
      </c>
      <c r="G14">
        <f>IF(B14="","",SUMIFS(Marks!$L$4:$L$503,Marks!$D$4:$D$503,B14,Marks!$A$4:$A$503,E14))</f>
        <v/>
      </c>
      <c r="H14">
        <f>IF(B14="","",SUMIFS(Marks!$H$4:$H$503,Marks!$D$4:$D$503,B14,Marks!$A$4:$A$503,E14))</f>
        <v/>
      </c>
      <c r="I14" s="9">
        <f>IFERROR(G14/H14*100,"")</f>
        <v/>
      </c>
      <c r="J14">
        <f>IF(I14="","",IF(I14&gt;=90,"A+",IF(I14&gt;=80,"A",IF(I14&gt;=70,"B+",IF(I14&gt;=60,"B",IF(I14&gt;=50,"C+",IF(I14&gt;=40,"C","F")))))))</f>
        <v/>
      </c>
      <c r="K14">
        <f>IF(COUNTIFS(Marks!$D$4:$D$503,B14,Marks!$A$4:$A$503,E14,Marks!$O$4:$O$503,"FAIL")&gt;0,"FAIL","PASS")</f>
        <v/>
      </c>
    </row>
    <row r="15">
      <c r="F15">
        <f>IF(B15="","",COUNTIFS(Marks!$D$4:$D$503,B15,Marks!$A$4:$A$503,E15))</f>
        <v/>
      </c>
      <c r="G15">
        <f>IF(B15="","",SUMIFS(Marks!$L$4:$L$503,Marks!$D$4:$D$503,B15,Marks!$A$4:$A$503,E15))</f>
        <v/>
      </c>
      <c r="H15">
        <f>IF(B15="","",SUMIFS(Marks!$H$4:$H$503,Marks!$D$4:$D$503,B15,Marks!$A$4:$A$503,E15))</f>
        <v/>
      </c>
      <c r="I15" s="9">
        <f>IFERROR(G15/H15*100,"")</f>
        <v/>
      </c>
      <c r="J15">
        <f>IF(I15="","",IF(I15&gt;=90,"A+",IF(I15&gt;=80,"A",IF(I15&gt;=70,"B+",IF(I15&gt;=60,"B",IF(I15&gt;=50,"C+",IF(I15&gt;=40,"C","F")))))))</f>
        <v/>
      </c>
      <c r="K15">
        <f>IF(COUNTIFS(Marks!$D$4:$D$503,B15,Marks!$A$4:$A$503,E15,Marks!$O$4:$O$503,"FAIL")&gt;0,"FAIL","PASS")</f>
        <v/>
      </c>
    </row>
    <row r="16">
      <c r="F16">
        <f>IF(B16="","",COUNTIFS(Marks!$D$4:$D$503,B16,Marks!$A$4:$A$503,E16))</f>
        <v/>
      </c>
      <c r="G16">
        <f>IF(B16="","",SUMIFS(Marks!$L$4:$L$503,Marks!$D$4:$D$503,B16,Marks!$A$4:$A$503,E16))</f>
        <v/>
      </c>
      <c r="H16">
        <f>IF(B16="","",SUMIFS(Marks!$H$4:$H$503,Marks!$D$4:$D$503,B16,Marks!$A$4:$A$503,E16))</f>
        <v/>
      </c>
      <c r="I16" s="9">
        <f>IFERROR(G16/H16*100,"")</f>
        <v/>
      </c>
      <c r="J16">
        <f>IF(I16="","",IF(I16&gt;=90,"A+",IF(I16&gt;=80,"A",IF(I16&gt;=70,"B+",IF(I16&gt;=60,"B",IF(I16&gt;=50,"C+",IF(I16&gt;=40,"C","F")))))))</f>
        <v/>
      </c>
      <c r="K16">
        <f>IF(COUNTIFS(Marks!$D$4:$D$503,B16,Marks!$A$4:$A$503,E16,Marks!$O$4:$O$503,"FAIL")&gt;0,"FAIL","PASS")</f>
        <v/>
      </c>
    </row>
    <row r="17">
      <c r="F17">
        <f>IF(B17="","",COUNTIFS(Marks!$D$4:$D$503,B17,Marks!$A$4:$A$503,E17))</f>
        <v/>
      </c>
      <c r="G17">
        <f>IF(B17="","",SUMIFS(Marks!$L$4:$L$503,Marks!$D$4:$D$503,B17,Marks!$A$4:$A$503,E17))</f>
        <v/>
      </c>
      <c r="H17">
        <f>IF(B17="","",SUMIFS(Marks!$H$4:$H$503,Marks!$D$4:$D$503,B17,Marks!$A$4:$A$503,E17))</f>
        <v/>
      </c>
      <c r="I17" s="9">
        <f>IFERROR(G17/H17*100,"")</f>
        <v/>
      </c>
      <c r="J17">
        <f>IF(I17="","",IF(I17&gt;=90,"A+",IF(I17&gt;=80,"A",IF(I17&gt;=70,"B+",IF(I17&gt;=60,"B",IF(I17&gt;=50,"C+",IF(I17&gt;=40,"C","F")))))))</f>
        <v/>
      </c>
      <c r="K17">
        <f>IF(COUNTIFS(Marks!$D$4:$D$503,B17,Marks!$A$4:$A$503,E17,Marks!$O$4:$O$503,"FAIL")&gt;0,"FAIL","PASS")</f>
        <v/>
      </c>
    </row>
    <row r="18">
      <c r="F18">
        <f>IF(B18="","",COUNTIFS(Marks!$D$4:$D$503,B18,Marks!$A$4:$A$503,E18))</f>
        <v/>
      </c>
      <c r="G18">
        <f>IF(B18="","",SUMIFS(Marks!$L$4:$L$503,Marks!$D$4:$D$503,B18,Marks!$A$4:$A$503,E18))</f>
        <v/>
      </c>
      <c r="H18">
        <f>IF(B18="","",SUMIFS(Marks!$H$4:$H$503,Marks!$D$4:$D$503,B18,Marks!$A$4:$A$503,E18))</f>
        <v/>
      </c>
      <c r="I18" s="9">
        <f>IFERROR(G18/H18*100,"")</f>
        <v/>
      </c>
      <c r="J18">
        <f>IF(I18="","",IF(I18&gt;=90,"A+",IF(I18&gt;=80,"A",IF(I18&gt;=70,"B+",IF(I18&gt;=60,"B",IF(I18&gt;=50,"C+",IF(I18&gt;=40,"C","F")))))))</f>
        <v/>
      </c>
      <c r="K18">
        <f>IF(COUNTIFS(Marks!$D$4:$D$503,B18,Marks!$A$4:$A$503,E18,Marks!$O$4:$O$503,"FAIL")&gt;0,"FAIL","PASS")</f>
        <v/>
      </c>
    </row>
    <row r="19">
      <c r="F19">
        <f>IF(B19="","",COUNTIFS(Marks!$D$4:$D$503,B19,Marks!$A$4:$A$503,E19))</f>
        <v/>
      </c>
      <c r="G19">
        <f>IF(B19="","",SUMIFS(Marks!$L$4:$L$503,Marks!$D$4:$D$503,B19,Marks!$A$4:$A$503,E19))</f>
        <v/>
      </c>
      <c r="H19">
        <f>IF(B19="","",SUMIFS(Marks!$H$4:$H$503,Marks!$D$4:$D$503,B19,Marks!$A$4:$A$503,E19))</f>
        <v/>
      </c>
      <c r="I19" s="9">
        <f>IFERROR(G19/H19*100,"")</f>
        <v/>
      </c>
      <c r="J19">
        <f>IF(I19="","",IF(I19&gt;=90,"A+",IF(I19&gt;=80,"A",IF(I19&gt;=70,"B+",IF(I19&gt;=60,"B",IF(I19&gt;=50,"C+",IF(I19&gt;=40,"C","F")))))))</f>
        <v/>
      </c>
      <c r="K19">
        <f>IF(COUNTIFS(Marks!$D$4:$D$503,B19,Marks!$A$4:$A$503,E19,Marks!$O$4:$O$503,"FAIL")&gt;0,"FAIL","PASS")</f>
        <v/>
      </c>
    </row>
    <row r="20">
      <c r="F20">
        <f>IF(B20="","",COUNTIFS(Marks!$D$4:$D$503,B20,Marks!$A$4:$A$503,E20))</f>
        <v/>
      </c>
      <c r="G20">
        <f>IF(B20="","",SUMIFS(Marks!$L$4:$L$503,Marks!$D$4:$D$503,B20,Marks!$A$4:$A$503,E20))</f>
        <v/>
      </c>
      <c r="H20">
        <f>IF(B20="","",SUMIFS(Marks!$H$4:$H$503,Marks!$D$4:$D$503,B20,Marks!$A$4:$A$503,E20))</f>
        <v/>
      </c>
      <c r="I20" s="9">
        <f>IFERROR(G20/H20*100,"")</f>
        <v/>
      </c>
      <c r="J20">
        <f>IF(I20="","",IF(I20&gt;=90,"A+",IF(I20&gt;=80,"A",IF(I20&gt;=70,"B+",IF(I20&gt;=60,"B",IF(I20&gt;=50,"C+",IF(I20&gt;=40,"C","F")))))))</f>
        <v/>
      </c>
      <c r="K20">
        <f>IF(COUNTIFS(Marks!$D$4:$D$503,B20,Marks!$A$4:$A$503,E20,Marks!$O$4:$O$503,"FAIL")&gt;0,"FAIL","PASS")</f>
        <v/>
      </c>
    </row>
    <row r="21">
      <c r="F21">
        <f>IF(B21="","",COUNTIFS(Marks!$D$4:$D$503,B21,Marks!$A$4:$A$503,E21))</f>
        <v/>
      </c>
      <c r="G21">
        <f>IF(B21="","",SUMIFS(Marks!$L$4:$L$503,Marks!$D$4:$D$503,B21,Marks!$A$4:$A$503,E21))</f>
        <v/>
      </c>
      <c r="H21">
        <f>IF(B21="","",SUMIFS(Marks!$H$4:$H$503,Marks!$D$4:$D$503,B21,Marks!$A$4:$A$503,E21))</f>
        <v/>
      </c>
      <c r="I21" s="9">
        <f>IFERROR(G21/H21*100,"")</f>
        <v/>
      </c>
      <c r="J21">
        <f>IF(I21="","",IF(I21&gt;=90,"A+",IF(I21&gt;=80,"A",IF(I21&gt;=70,"B+",IF(I21&gt;=60,"B",IF(I21&gt;=50,"C+",IF(I21&gt;=40,"C","F")))))))</f>
        <v/>
      </c>
      <c r="K21">
        <f>IF(COUNTIFS(Marks!$D$4:$D$503,B21,Marks!$A$4:$A$503,E21,Marks!$O$4:$O$503,"FAIL")&gt;0,"FAIL","PASS")</f>
        <v/>
      </c>
    </row>
    <row r="22">
      <c r="F22">
        <f>IF(B22="","",COUNTIFS(Marks!$D$4:$D$503,B22,Marks!$A$4:$A$503,E22))</f>
        <v/>
      </c>
      <c r="G22">
        <f>IF(B22="","",SUMIFS(Marks!$L$4:$L$503,Marks!$D$4:$D$503,B22,Marks!$A$4:$A$503,E22))</f>
        <v/>
      </c>
      <c r="H22">
        <f>IF(B22="","",SUMIFS(Marks!$H$4:$H$503,Marks!$D$4:$D$503,B22,Marks!$A$4:$A$503,E22))</f>
        <v/>
      </c>
      <c r="I22" s="9">
        <f>IFERROR(G22/H22*100,"")</f>
        <v/>
      </c>
      <c r="J22">
        <f>IF(I22="","",IF(I22&gt;=90,"A+",IF(I22&gt;=80,"A",IF(I22&gt;=70,"B+",IF(I22&gt;=60,"B",IF(I22&gt;=50,"C+",IF(I22&gt;=40,"C","F")))))))</f>
        <v/>
      </c>
      <c r="K22">
        <f>IF(COUNTIFS(Marks!$D$4:$D$503,B22,Marks!$A$4:$A$503,E22,Marks!$O$4:$O$503,"FAIL")&gt;0,"FAIL","PASS")</f>
        <v/>
      </c>
    </row>
    <row r="23">
      <c r="F23">
        <f>IF(B23="","",COUNTIFS(Marks!$D$4:$D$503,B23,Marks!$A$4:$A$503,E23))</f>
        <v/>
      </c>
      <c r="G23">
        <f>IF(B23="","",SUMIFS(Marks!$L$4:$L$503,Marks!$D$4:$D$503,B23,Marks!$A$4:$A$503,E23))</f>
        <v/>
      </c>
      <c r="H23">
        <f>IF(B23="","",SUMIFS(Marks!$H$4:$H$503,Marks!$D$4:$D$503,B23,Marks!$A$4:$A$503,E23))</f>
        <v/>
      </c>
      <c r="I23" s="9">
        <f>IFERROR(G23/H23*100,"")</f>
        <v/>
      </c>
      <c r="J23">
        <f>IF(I23="","",IF(I23&gt;=90,"A+",IF(I23&gt;=80,"A",IF(I23&gt;=70,"B+",IF(I23&gt;=60,"B",IF(I23&gt;=50,"C+",IF(I23&gt;=40,"C","F")))))))</f>
        <v/>
      </c>
      <c r="K23">
        <f>IF(COUNTIFS(Marks!$D$4:$D$503,B23,Marks!$A$4:$A$503,E23,Marks!$O$4:$O$503,"FAIL")&gt;0,"FAIL","PASS")</f>
        <v/>
      </c>
    </row>
    <row r="24">
      <c r="F24">
        <f>IF(B24="","",COUNTIFS(Marks!$D$4:$D$503,B24,Marks!$A$4:$A$503,E24))</f>
        <v/>
      </c>
      <c r="G24">
        <f>IF(B24="","",SUMIFS(Marks!$L$4:$L$503,Marks!$D$4:$D$503,B24,Marks!$A$4:$A$503,E24))</f>
        <v/>
      </c>
      <c r="H24">
        <f>IF(B24="","",SUMIFS(Marks!$H$4:$H$503,Marks!$D$4:$D$503,B24,Marks!$A$4:$A$503,E24))</f>
        <v/>
      </c>
      <c r="I24" s="9">
        <f>IFERROR(G24/H24*100,"")</f>
        <v/>
      </c>
      <c r="J24">
        <f>IF(I24="","",IF(I24&gt;=90,"A+",IF(I24&gt;=80,"A",IF(I24&gt;=70,"B+",IF(I24&gt;=60,"B",IF(I24&gt;=50,"C+",IF(I24&gt;=40,"C","F")))))))</f>
        <v/>
      </c>
      <c r="K24">
        <f>IF(COUNTIFS(Marks!$D$4:$D$503,B24,Marks!$A$4:$A$503,E24,Marks!$O$4:$O$503,"FAIL")&gt;0,"FAIL","PASS")</f>
        <v/>
      </c>
    </row>
    <row r="25">
      <c r="F25">
        <f>IF(B25="","",COUNTIFS(Marks!$D$4:$D$503,B25,Marks!$A$4:$A$503,E25))</f>
        <v/>
      </c>
      <c r="G25">
        <f>IF(B25="","",SUMIFS(Marks!$L$4:$L$503,Marks!$D$4:$D$503,B25,Marks!$A$4:$A$503,E25))</f>
        <v/>
      </c>
      <c r="H25">
        <f>IF(B25="","",SUMIFS(Marks!$H$4:$H$503,Marks!$D$4:$D$503,B25,Marks!$A$4:$A$503,E25))</f>
        <v/>
      </c>
      <c r="I25" s="9">
        <f>IFERROR(G25/H25*100,"")</f>
        <v/>
      </c>
      <c r="J25">
        <f>IF(I25="","",IF(I25&gt;=90,"A+",IF(I25&gt;=80,"A",IF(I25&gt;=70,"B+",IF(I25&gt;=60,"B",IF(I25&gt;=50,"C+",IF(I25&gt;=40,"C","F")))))))</f>
        <v/>
      </c>
      <c r="K25">
        <f>IF(COUNTIFS(Marks!$D$4:$D$503,B25,Marks!$A$4:$A$503,E25,Marks!$O$4:$O$503,"FAIL")&gt;0,"FAIL","PASS")</f>
        <v/>
      </c>
    </row>
    <row r="26">
      <c r="F26">
        <f>IF(B26="","",COUNTIFS(Marks!$D$4:$D$503,B26,Marks!$A$4:$A$503,E26))</f>
        <v/>
      </c>
      <c r="G26">
        <f>IF(B26="","",SUMIFS(Marks!$L$4:$L$503,Marks!$D$4:$D$503,B26,Marks!$A$4:$A$503,E26))</f>
        <v/>
      </c>
      <c r="H26">
        <f>IF(B26="","",SUMIFS(Marks!$H$4:$H$503,Marks!$D$4:$D$503,B26,Marks!$A$4:$A$503,E26))</f>
        <v/>
      </c>
      <c r="I26" s="9">
        <f>IFERROR(G26/H26*100,"")</f>
        <v/>
      </c>
      <c r="J26">
        <f>IF(I26="","",IF(I26&gt;=90,"A+",IF(I26&gt;=80,"A",IF(I26&gt;=70,"B+",IF(I26&gt;=60,"B",IF(I26&gt;=50,"C+",IF(I26&gt;=40,"C","F")))))))</f>
        <v/>
      </c>
      <c r="K26">
        <f>IF(COUNTIFS(Marks!$D$4:$D$503,B26,Marks!$A$4:$A$503,E26,Marks!$O$4:$O$503,"FAIL")&gt;0,"FAIL","PASS")</f>
        <v/>
      </c>
    </row>
    <row r="27">
      <c r="F27">
        <f>IF(B27="","",COUNTIFS(Marks!$D$4:$D$503,B27,Marks!$A$4:$A$503,E27))</f>
        <v/>
      </c>
      <c r="G27">
        <f>IF(B27="","",SUMIFS(Marks!$L$4:$L$503,Marks!$D$4:$D$503,B27,Marks!$A$4:$A$503,E27))</f>
        <v/>
      </c>
      <c r="H27">
        <f>IF(B27="","",SUMIFS(Marks!$H$4:$H$503,Marks!$D$4:$D$503,B27,Marks!$A$4:$A$503,E27))</f>
        <v/>
      </c>
      <c r="I27" s="9">
        <f>IFERROR(G27/H27*100,"")</f>
        <v/>
      </c>
      <c r="J27">
        <f>IF(I27="","",IF(I27&gt;=90,"A+",IF(I27&gt;=80,"A",IF(I27&gt;=70,"B+",IF(I27&gt;=60,"B",IF(I27&gt;=50,"C+",IF(I27&gt;=40,"C","F")))))))</f>
        <v/>
      </c>
      <c r="K27">
        <f>IF(COUNTIFS(Marks!$D$4:$D$503,B27,Marks!$A$4:$A$503,E27,Marks!$O$4:$O$503,"FAIL")&gt;0,"FAIL","PASS")</f>
        <v/>
      </c>
    </row>
    <row r="28">
      <c r="F28">
        <f>IF(B28="","",COUNTIFS(Marks!$D$4:$D$503,B28,Marks!$A$4:$A$503,E28))</f>
        <v/>
      </c>
      <c r="G28">
        <f>IF(B28="","",SUMIFS(Marks!$L$4:$L$503,Marks!$D$4:$D$503,B28,Marks!$A$4:$A$503,E28))</f>
        <v/>
      </c>
      <c r="H28">
        <f>IF(B28="","",SUMIFS(Marks!$H$4:$H$503,Marks!$D$4:$D$503,B28,Marks!$A$4:$A$503,E28))</f>
        <v/>
      </c>
      <c r="I28" s="9">
        <f>IFERROR(G28/H28*100,"")</f>
        <v/>
      </c>
      <c r="J28">
        <f>IF(I28="","",IF(I28&gt;=90,"A+",IF(I28&gt;=80,"A",IF(I28&gt;=70,"B+",IF(I28&gt;=60,"B",IF(I28&gt;=50,"C+",IF(I28&gt;=40,"C","F")))))))</f>
        <v/>
      </c>
      <c r="K28">
        <f>IF(COUNTIFS(Marks!$D$4:$D$503,B28,Marks!$A$4:$A$503,E28,Marks!$O$4:$O$503,"FAIL")&gt;0,"FAIL","PASS")</f>
        <v/>
      </c>
    </row>
    <row r="29">
      <c r="F29">
        <f>IF(B29="","",COUNTIFS(Marks!$D$4:$D$503,B29,Marks!$A$4:$A$503,E29))</f>
        <v/>
      </c>
      <c r="G29">
        <f>IF(B29="","",SUMIFS(Marks!$L$4:$L$503,Marks!$D$4:$D$503,B29,Marks!$A$4:$A$503,E29))</f>
        <v/>
      </c>
      <c r="H29">
        <f>IF(B29="","",SUMIFS(Marks!$H$4:$H$503,Marks!$D$4:$D$503,B29,Marks!$A$4:$A$503,E29))</f>
        <v/>
      </c>
      <c r="I29" s="9">
        <f>IFERROR(G29/H29*100,"")</f>
        <v/>
      </c>
      <c r="J29">
        <f>IF(I29="","",IF(I29&gt;=90,"A+",IF(I29&gt;=80,"A",IF(I29&gt;=70,"B+",IF(I29&gt;=60,"B",IF(I29&gt;=50,"C+",IF(I29&gt;=40,"C","F")))))))</f>
        <v/>
      </c>
      <c r="K29">
        <f>IF(COUNTIFS(Marks!$D$4:$D$503,B29,Marks!$A$4:$A$503,E29,Marks!$O$4:$O$503,"FAIL")&gt;0,"FAIL","PASS")</f>
        <v/>
      </c>
    </row>
    <row r="30">
      <c r="F30">
        <f>IF(B30="","",COUNTIFS(Marks!$D$4:$D$503,B30,Marks!$A$4:$A$503,E30))</f>
        <v/>
      </c>
      <c r="G30">
        <f>IF(B30="","",SUMIFS(Marks!$L$4:$L$503,Marks!$D$4:$D$503,B30,Marks!$A$4:$A$503,E30))</f>
        <v/>
      </c>
      <c r="H30">
        <f>IF(B30="","",SUMIFS(Marks!$H$4:$H$503,Marks!$D$4:$D$503,B30,Marks!$A$4:$A$503,E30))</f>
        <v/>
      </c>
      <c r="I30" s="9">
        <f>IFERROR(G30/H30*100,"")</f>
        <v/>
      </c>
      <c r="J30">
        <f>IF(I30="","",IF(I30&gt;=90,"A+",IF(I30&gt;=80,"A",IF(I30&gt;=70,"B+",IF(I30&gt;=60,"B",IF(I30&gt;=50,"C+",IF(I30&gt;=40,"C","F")))))))</f>
        <v/>
      </c>
      <c r="K30">
        <f>IF(COUNTIFS(Marks!$D$4:$D$503,B30,Marks!$A$4:$A$503,E30,Marks!$O$4:$O$503,"FAIL")&gt;0,"FAIL","PASS")</f>
        <v/>
      </c>
    </row>
    <row r="31">
      <c r="F31">
        <f>IF(B31="","",COUNTIFS(Marks!$D$4:$D$503,B31,Marks!$A$4:$A$503,E31))</f>
        <v/>
      </c>
      <c r="G31">
        <f>IF(B31="","",SUMIFS(Marks!$L$4:$L$503,Marks!$D$4:$D$503,B31,Marks!$A$4:$A$503,E31))</f>
        <v/>
      </c>
      <c r="H31">
        <f>IF(B31="","",SUMIFS(Marks!$H$4:$H$503,Marks!$D$4:$D$503,B31,Marks!$A$4:$A$503,E31))</f>
        <v/>
      </c>
      <c r="I31" s="9">
        <f>IFERROR(G31/H31*100,"")</f>
        <v/>
      </c>
      <c r="J31">
        <f>IF(I31="","",IF(I31&gt;=90,"A+",IF(I31&gt;=80,"A",IF(I31&gt;=70,"B+",IF(I31&gt;=60,"B",IF(I31&gt;=50,"C+",IF(I31&gt;=40,"C","F")))))))</f>
        <v/>
      </c>
      <c r="K31">
        <f>IF(COUNTIFS(Marks!$D$4:$D$503,B31,Marks!$A$4:$A$503,E31,Marks!$O$4:$O$503,"FAIL")&gt;0,"FAIL","PASS")</f>
        <v/>
      </c>
    </row>
    <row r="32">
      <c r="F32">
        <f>IF(B32="","",COUNTIFS(Marks!$D$4:$D$503,B32,Marks!$A$4:$A$503,E32))</f>
        <v/>
      </c>
      <c r="G32">
        <f>IF(B32="","",SUMIFS(Marks!$L$4:$L$503,Marks!$D$4:$D$503,B32,Marks!$A$4:$A$503,E32))</f>
        <v/>
      </c>
      <c r="H32">
        <f>IF(B32="","",SUMIFS(Marks!$H$4:$H$503,Marks!$D$4:$D$503,B32,Marks!$A$4:$A$503,E32))</f>
        <v/>
      </c>
      <c r="I32" s="9">
        <f>IFERROR(G32/H32*100,"")</f>
        <v/>
      </c>
      <c r="J32">
        <f>IF(I32="","",IF(I32&gt;=90,"A+",IF(I32&gt;=80,"A",IF(I32&gt;=70,"B+",IF(I32&gt;=60,"B",IF(I32&gt;=50,"C+",IF(I32&gt;=40,"C","F")))))))</f>
        <v/>
      </c>
      <c r="K32">
        <f>IF(COUNTIFS(Marks!$D$4:$D$503,B32,Marks!$A$4:$A$503,E32,Marks!$O$4:$O$503,"FAIL")&gt;0,"FAIL","PASS")</f>
        <v/>
      </c>
    </row>
    <row r="33">
      <c r="F33">
        <f>IF(B33="","",COUNTIFS(Marks!$D$4:$D$503,B33,Marks!$A$4:$A$503,E33))</f>
        <v/>
      </c>
      <c r="G33">
        <f>IF(B33="","",SUMIFS(Marks!$L$4:$L$503,Marks!$D$4:$D$503,B33,Marks!$A$4:$A$503,E33))</f>
        <v/>
      </c>
      <c r="H33">
        <f>IF(B33="","",SUMIFS(Marks!$H$4:$H$503,Marks!$D$4:$D$503,B33,Marks!$A$4:$A$503,E33))</f>
        <v/>
      </c>
      <c r="I33" s="9">
        <f>IFERROR(G33/H33*100,"")</f>
        <v/>
      </c>
      <c r="J33">
        <f>IF(I33="","",IF(I33&gt;=90,"A+",IF(I33&gt;=80,"A",IF(I33&gt;=70,"B+",IF(I33&gt;=60,"B",IF(I33&gt;=50,"C+",IF(I33&gt;=40,"C","F")))))))</f>
        <v/>
      </c>
      <c r="K33">
        <f>IF(COUNTIFS(Marks!$D$4:$D$503,B33,Marks!$A$4:$A$503,E33,Marks!$O$4:$O$503,"FAIL")&gt;0,"FAIL","PASS")</f>
        <v/>
      </c>
    </row>
    <row r="34">
      <c r="F34">
        <f>IF(B34="","",COUNTIFS(Marks!$D$4:$D$503,B34,Marks!$A$4:$A$503,E34))</f>
        <v/>
      </c>
      <c r="G34">
        <f>IF(B34="","",SUMIFS(Marks!$L$4:$L$503,Marks!$D$4:$D$503,B34,Marks!$A$4:$A$503,E34))</f>
        <v/>
      </c>
      <c r="H34">
        <f>IF(B34="","",SUMIFS(Marks!$H$4:$H$503,Marks!$D$4:$D$503,B34,Marks!$A$4:$A$503,E34))</f>
        <v/>
      </c>
      <c r="I34" s="9">
        <f>IFERROR(G34/H34*100,"")</f>
        <v/>
      </c>
      <c r="J34">
        <f>IF(I34="","",IF(I34&gt;=90,"A+",IF(I34&gt;=80,"A",IF(I34&gt;=70,"B+",IF(I34&gt;=60,"B",IF(I34&gt;=50,"C+",IF(I34&gt;=40,"C","F")))))))</f>
        <v/>
      </c>
      <c r="K34">
        <f>IF(COUNTIFS(Marks!$D$4:$D$503,B34,Marks!$A$4:$A$503,E34,Marks!$O$4:$O$503,"FAIL")&gt;0,"FAIL","PASS")</f>
        <v/>
      </c>
    </row>
    <row r="35">
      <c r="F35">
        <f>IF(B35="","",COUNTIFS(Marks!$D$4:$D$503,B35,Marks!$A$4:$A$503,E35))</f>
        <v/>
      </c>
      <c r="G35">
        <f>IF(B35="","",SUMIFS(Marks!$L$4:$L$503,Marks!$D$4:$D$503,B35,Marks!$A$4:$A$503,E35))</f>
        <v/>
      </c>
      <c r="H35">
        <f>IF(B35="","",SUMIFS(Marks!$H$4:$H$503,Marks!$D$4:$D$503,B35,Marks!$A$4:$A$503,E35))</f>
        <v/>
      </c>
      <c r="I35" s="9">
        <f>IFERROR(G35/H35*100,"")</f>
        <v/>
      </c>
      <c r="J35">
        <f>IF(I35="","",IF(I35&gt;=90,"A+",IF(I35&gt;=80,"A",IF(I35&gt;=70,"B+",IF(I35&gt;=60,"B",IF(I35&gt;=50,"C+",IF(I35&gt;=40,"C","F")))))))</f>
        <v/>
      </c>
      <c r="K35">
        <f>IF(COUNTIFS(Marks!$D$4:$D$503,B35,Marks!$A$4:$A$503,E35,Marks!$O$4:$O$503,"FAIL")&gt;0,"FAIL","PASS")</f>
        <v/>
      </c>
    </row>
    <row r="36">
      <c r="F36">
        <f>IF(B36="","",COUNTIFS(Marks!$D$4:$D$503,B36,Marks!$A$4:$A$503,E36))</f>
        <v/>
      </c>
      <c r="G36">
        <f>IF(B36="","",SUMIFS(Marks!$L$4:$L$503,Marks!$D$4:$D$503,B36,Marks!$A$4:$A$503,E36))</f>
        <v/>
      </c>
      <c r="H36">
        <f>IF(B36="","",SUMIFS(Marks!$H$4:$H$503,Marks!$D$4:$D$503,B36,Marks!$A$4:$A$503,E36))</f>
        <v/>
      </c>
      <c r="I36" s="9">
        <f>IFERROR(G36/H36*100,"")</f>
        <v/>
      </c>
      <c r="J36">
        <f>IF(I36="","",IF(I36&gt;=90,"A+",IF(I36&gt;=80,"A",IF(I36&gt;=70,"B+",IF(I36&gt;=60,"B",IF(I36&gt;=50,"C+",IF(I36&gt;=40,"C","F")))))))</f>
        <v/>
      </c>
      <c r="K36">
        <f>IF(COUNTIFS(Marks!$D$4:$D$503,B36,Marks!$A$4:$A$503,E36,Marks!$O$4:$O$503,"FAIL")&gt;0,"FAIL","PASS")</f>
        <v/>
      </c>
    </row>
    <row r="37">
      <c r="F37">
        <f>IF(B37="","",COUNTIFS(Marks!$D$4:$D$503,B37,Marks!$A$4:$A$503,E37))</f>
        <v/>
      </c>
      <c r="G37">
        <f>IF(B37="","",SUMIFS(Marks!$L$4:$L$503,Marks!$D$4:$D$503,B37,Marks!$A$4:$A$503,E37))</f>
        <v/>
      </c>
      <c r="H37">
        <f>IF(B37="","",SUMIFS(Marks!$H$4:$H$503,Marks!$D$4:$D$503,B37,Marks!$A$4:$A$503,E37))</f>
        <v/>
      </c>
      <c r="I37" s="9">
        <f>IFERROR(G37/H37*100,"")</f>
        <v/>
      </c>
      <c r="J37">
        <f>IF(I37="","",IF(I37&gt;=90,"A+",IF(I37&gt;=80,"A",IF(I37&gt;=70,"B+",IF(I37&gt;=60,"B",IF(I37&gt;=50,"C+",IF(I37&gt;=40,"C","F")))))))</f>
        <v/>
      </c>
      <c r="K37">
        <f>IF(COUNTIFS(Marks!$D$4:$D$503,B37,Marks!$A$4:$A$503,E37,Marks!$O$4:$O$503,"FAIL")&gt;0,"FAIL","PASS")</f>
        <v/>
      </c>
    </row>
    <row r="38">
      <c r="F38">
        <f>IF(B38="","",COUNTIFS(Marks!$D$4:$D$503,B38,Marks!$A$4:$A$503,E38))</f>
        <v/>
      </c>
      <c r="G38">
        <f>IF(B38="","",SUMIFS(Marks!$L$4:$L$503,Marks!$D$4:$D$503,B38,Marks!$A$4:$A$503,E38))</f>
        <v/>
      </c>
      <c r="H38">
        <f>IF(B38="","",SUMIFS(Marks!$H$4:$H$503,Marks!$D$4:$D$503,B38,Marks!$A$4:$A$503,E38))</f>
        <v/>
      </c>
      <c r="I38" s="9">
        <f>IFERROR(G38/H38*100,"")</f>
        <v/>
      </c>
      <c r="J38">
        <f>IF(I38="","",IF(I38&gt;=90,"A+",IF(I38&gt;=80,"A",IF(I38&gt;=70,"B+",IF(I38&gt;=60,"B",IF(I38&gt;=50,"C+",IF(I38&gt;=40,"C","F")))))))</f>
        <v/>
      </c>
      <c r="K38">
        <f>IF(COUNTIFS(Marks!$D$4:$D$503,B38,Marks!$A$4:$A$503,E38,Marks!$O$4:$O$503,"FAIL")&gt;0,"FAIL","PASS")</f>
        <v/>
      </c>
    </row>
    <row r="39">
      <c r="F39">
        <f>IF(B39="","",COUNTIFS(Marks!$D$4:$D$503,B39,Marks!$A$4:$A$503,E39))</f>
        <v/>
      </c>
      <c r="G39">
        <f>IF(B39="","",SUMIFS(Marks!$L$4:$L$503,Marks!$D$4:$D$503,B39,Marks!$A$4:$A$503,E39))</f>
        <v/>
      </c>
      <c r="H39">
        <f>IF(B39="","",SUMIFS(Marks!$H$4:$H$503,Marks!$D$4:$D$503,B39,Marks!$A$4:$A$503,E39))</f>
        <v/>
      </c>
      <c r="I39" s="9">
        <f>IFERROR(G39/H39*100,"")</f>
        <v/>
      </c>
      <c r="J39">
        <f>IF(I39="","",IF(I39&gt;=90,"A+",IF(I39&gt;=80,"A",IF(I39&gt;=70,"B+",IF(I39&gt;=60,"B",IF(I39&gt;=50,"C+",IF(I39&gt;=40,"C","F")))))))</f>
        <v/>
      </c>
      <c r="K39">
        <f>IF(COUNTIFS(Marks!$D$4:$D$503,B39,Marks!$A$4:$A$503,E39,Marks!$O$4:$O$503,"FAIL")&gt;0,"FAIL","PASS")</f>
        <v/>
      </c>
    </row>
    <row r="40">
      <c r="F40">
        <f>IF(B40="","",COUNTIFS(Marks!$D$4:$D$503,B40,Marks!$A$4:$A$503,E40))</f>
        <v/>
      </c>
      <c r="G40">
        <f>IF(B40="","",SUMIFS(Marks!$L$4:$L$503,Marks!$D$4:$D$503,B40,Marks!$A$4:$A$503,E40))</f>
        <v/>
      </c>
      <c r="H40">
        <f>IF(B40="","",SUMIFS(Marks!$H$4:$H$503,Marks!$D$4:$D$503,B40,Marks!$A$4:$A$503,E40))</f>
        <v/>
      </c>
      <c r="I40" s="9">
        <f>IFERROR(G40/H40*100,"")</f>
        <v/>
      </c>
      <c r="J40">
        <f>IF(I40="","",IF(I40&gt;=90,"A+",IF(I40&gt;=80,"A",IF(I40&gt;=70,"B+",IF(I40&gt;=60,"B",IF(I40&gt;=50,"C+",IF(I40&gt;=40,"C","F")))))))</f>
        <v/>
      </c>
      <c r="K40">
        <f>IF(COUNTIFS(Marks!$D$4:$D$503,B40,Marks!$A$4:$A$503,E40,Marks!$O$4:$O$503,"FAIL")&gt;0,"FAIL","PASS")</f>
        <v/>
      </c>
    </row>
    <row r="41">
      <c r="F41">
        <f>IF(B41="","",COUNTIFS(Marks!$D$4:$D$503,B41,Marks!$A$4:$A$503,E41))</f>
        <v/>
      </c>
      <c r="G41">
        <f>IF(B41="","",SUMIFS(Marks!$L$4:$L$503,Marks!$D$4:$D$503,B41,Marks!$A$4:$A$503,E41))</f>
        <v/>
      </c>
      <c r="H41">
        <f>IF(B41="","",SUMIFS(Marks!$H$4:$H$503,Marks!$D$4:$D$503,B41,Marks!$A$4:$A$503,E41))</f>
        <v/>
      </c>
      <c r="I41" s="9">
        <f>IFERROR(G41/H41*100,"")</f>
        <v/>
      </c>
      <c r="J41">
        <f>IF(I41="","",IF(I41&gt;=90,"A+",IF(I41&gt;=80,"A",IF(I41&gt;=70,"B+",IF(I41&gt;=60,"B",IF(I41&gt;=50,"C+",IF(I41&gt;=40,"C","F")))))))</f>
        <v/>
      </c>
      <c r="K41">
        <f>IF(COUNTIFS(Marks!$D$4:$D$503,B41,Marks!$A$4:$A$503,E41,Marks!$O$4:$O$503,"FAIL")&gt;0,"FAIL","PASS")</f>
        <v/>
      </c>
    </row>
    <row r="42">
      <c r="F42">
        <f>IF(B42="","",COUNTIFS(Marks!$D$4:$D$503,B42,Marks!$A$4:$A$503,E42))</f>
        <v/>
      </c>
      <c r="G42">
        <f>IF(B42="","",SUMIFS(Marks!$L$4:$L$503,Marks!$D$4:$D$503,B42,Marks!$A$4:$A$503,E42))</f>
        <v/>
      </c>
      <c r="H42">
        <f>IF(B42="","",SUMIFS(Marks!$H$4:$H$503,Marks!$D$4:$D$503,B42,Marks!$A$4:$A$503,E42))</f>
        <v/>
      </c>
      <c r="I42" s="9">
        <f>IFERROR(G42/H42*100,"")</f>
        <v/>
      </c>
      <c r="J42">
        <f>IF(I42="","",IF(I42&gt;=90,"A+",IF(I42&gt;=80,"A",IF(I42&gt;=70,"B+",IF(I42&gt;=60,"B",IF(I42&gt;=50,"C+",IF(I42&gt;=40,"C","F")))))))</f>
        <v/>
      </c>
      <c r="K42">
        <f>IF(COUNTIFS(Marks!$D$4:$D$503,B42,Marks!$A$4:$A$503,E42,Marks!$O$4:$O$503,"FAIL")&gt;0,"FAIL","PASS")</f>
        <v/>
      </c>
    </row>
    <row r="43">
      <c r="F43">
        <f>IF(B43="","",COUNTIFS(Marks!$D$4:$D$503,B43,Marks!$A$4:$A$503,E43))</f>
        <v/>
      </c>
      <c r="G43">
        <f>IF(B43="","",SUMIFS(Marks!$L$4:$L$503,Marks!$D$4:$D$503,B43,Marks!$A$4:$A$503,E43))</f>
        <v/>
      </c>
      <c r="H43">
        <f>IF(B43="","",SUMIFS(Marks!$H$4:$H$503,Marks!$D$4:$D$503,B43,Marks!$A$4:$A$503,E43))</f>
        <v/>
      </c>
      <c r="I43" s="9">
        <f>IFERROR(G43/H43*100,"")</f>
        <v/>
      </c>
      <c r="J43">
        <f>IF(I43="","",IF(I43&gt;=90,"A+",IF(I43&gt;=80,"A",IF(I43&gt;=70,"B+",IF(I43&gt;=60,"B",IF(I43&gt;=50,"C+",IF(I43&gt;=40,"C","F")))))))</f>
        <v/>
      </c>
      <c r="K43">
        <f>IF(COUNTIFS(Marks!$D$4:$D$503,B43,Marks!$A$4:$A$503,E43,Marks!$O$4:$O$503,"FAIL")&gt;0,"FAIL","PASS")</f>
        <v/>
      </c>
    </row>
    <row r="44">
      <c r="F44">
        <f>IF(B44="","",COUNTIFS(Marks!$D$4:$D$503,B44,Marks!$A$4:$A$503,E44))</f>
        <v/>
      </c>
      <c r="G44">
        <f>IF(B44="","",SUMIFS(Marks!$L$4:$L$503,Marks!$D$4:$D$503,B44,Marks!$A$4:$A$503,E44))</f>
        <v/>
      </c>
      <c r="H44">
        <f>IF(B44="","",SUMIFS(Marks!$H$4:$H$503,Marks!$D$4:$D$503,B44,Marks!$A$4:$A$503,E44))</f>
        <v/>
      </c>
      <c r="I44" s="9">
        <f>IFERROR(G44/H44*100,"")</f>
        <v/>
      </c>
      <c r="J44">
        <f>IF(I44="","",IF(I44&gt;=90,"A+",IF(I44&gt;=80,"A",IF(I44&gt;=70,"B+",IF(I44&gt;=60,"B",IF(I44&gt;=50,"C+",IF(I44&gt;=40,"C","F")))))))</f>
        <v/>
      </c>
      <c r="K44">
        <f>IF(COUNTIFS(Marks!$D$4:$D$503,B44,Marks!$A$4:$A$503,E44,Marks!$O$4:$O$503,"FAIL")&gt;0,"FAIL","PASS")</f>
        <v/>
      </c>
    </row>
    <row r="45">
      <c r="F45">
        <f>IF(B45="","",COUNTIFS(Marks!$D$4:$D$503,B45,Marks!$A$4:$A$503,E45))</f>
        <v/>
      </c>
      <c r="G45">
        <f>IF(B45="","",SUMIFS(Marks!$L$4:$L$503,Marks!$D$4:$D$503,B45,Marks!$A$4:$A$503,E45))</f>
        <v/>
      </c>
      <c r="H45">
        <f>IF(B45="","",SUMIFS(Marks!$H$4:$H$503,Marks!$D$4:$D$503,B45,Marks!$A$4:$A$503,E45))</f>
        <v/>
      </c>
      <c r="I45" s="9">
        <f>IFERROR(G45/H45*100,"")</f>
        <v/>
      </c>
      <c r="J45">
        <f>IF(I45="","",IF(I45&gt;=90,"A+",IF(I45&gt;=80,"A",IF(I45&gt;=70,"B+",IF(I45&gt;=60,"B",IF(I45&gt;=50,"C+",IF(I45&gt;=40,"C","F")))))))</f>
        <v/>
      </c>
      <c r="K45">
        <f>IF(COUNTIFS(Marks!$D$4:$D$503,B45,Marks!$A$4:$A$503,E45,Marks!$O$4:$O$503,"FAIL")&gt;0,"FAIL","PASS")</f>
        <v/>
      </c>
    </row>
    <row r="46">
      <c r="F46">
        <f>IF(B46="","",COUNTIFS(Marks!$D$4:$D$503,B46,Marks!$A$4:$A$503,E46))</f>
        <v/>
      </c>
      <c r="G46">
        <f>IF(B46="","",SUMIFS(Marks!$L$4:$L$503,Marks!$D$4:$D$503,B46,Marks!$A$4:$A$503,E46))</f>
        <v/>
      </c>
      <c r="H46">
        <f>IF(B46="","",SUMIFS(Marks!$H$4:$H$503,Marks!$D$4:$D$503,B46,Marks!$A$4:$A$503,E46))</f>
        <v/>
      </c>
      <c r="I46" s="9">
        <f>IFERROR(G46/H46*100,"")</f>
        <v/>
      </c>
      <c r="J46">
        <f>IF(I46="","",IF(I46&gt;=90,"A+",IF(I46&gt;=80,"A",IF(I46&gt;=70,"B+",IF(I46&gt;=60,"B",IF(I46&gt;=50,"C+",IF(I46&gt;=40,"C","F")))))))</f>
        <v/>
      </c>
      <c r="K46">
        <f>IF(COUNTIFS(Marks!$D$4:$D$503,B46,Marks!$A$4:$A$503,E46,Marks!$O$4:$O$503,"FAIL")&gt;0,"FAIL","PASS")</f>
        <v/>
      </c>
    </row>
    <row r="47">
      <c r="F47">
        <f>IF(B47="","",COUNTIFS(Marks!$D$4:$D$503,B47,Marks!$A$4:$A$503,E47))</f>
        <v/>
      </c>
      <c r="G47">
        <f>IF(B47="","",SUMIFS(Marks!$L$4:$L$503,Marks!$D$4:$D$503,B47,Marks!$A$4:$A$503,E47))</f>
        <v/>
      </c>
      <c r="H47">
        <f>IF(B47="","",SUMIFS(Marks!$H$4:$H$503,Marks!$D$4:$D$503,B47,Marks!$A$4:$A$503,E47))</f>
        <v/>
      </c>
      <c r="I47" s="9">
        <f>IFERROR(G47/H47*100,"")</f>
        <v/>
      </c>
      <c r="J47">
        <f>IF(I47="","",IF(I47&gt;=90,"A+",IF(I47&gt;=80,"A",IF(I47&gt;=70,"B+",IF(I47&gt;=60,"B",IF(I47&gt;=50,"C+",IF(I47&gt;=40,"C","F")))))))</f>
        <v/>
      </c>
      <c r="K47">
        <f>IF(COUNTIFS(Marks!$D$4:$D$503,B47,Marks!$A$4:$A$503,E47,Marks!$O$4:$O$503,"FAIL")&gt;0,"FAIL","PASS")</f>
        <v/>
      </c>
    </row>
    <row r="48">
      <c r="F48">
        <f>IF(B48="","",COUNTIFS(Marks!$D$4:$D$503,B48,Marks!$A$4:$A$503,E48))</f>
        <v/>
      </c>
      <c r="G48">
        <f>IF(B48="","",SUMIFS(Marks!$L$4:$L$503,Marks!$D$4:$D$503,B48,Marks!$A$4:$A$503,E48))</f>
        <v/>
      </c>
      <c r="H48">
        <f>IF(B48="","",SUMIFS(Marks!$H$4:$H$503,Marks!$D$4:$D$503,B48,Marks!$A$4:$A$503,E48))</f>
        <v/>
      </c>
      <c r="I48" s="9">
        <f>IFERROR(G48/H48*100,"")</f>
        <v/>
      </c>
      <c r="J48">
        <f>IF(I48="","",IF(I48&gt;=90,"A+",IF(I48&gt;=80,"A",IF(I48&gt;=70,"B+",IF(I48&gt;=60,"B",IF(I48&gt;=50,"C+",IF(I48&gt;=40,"C","F")))))))</f>
        <v/>
      </c>
      <c r="K48">
        <f>IF(COUNTIFS(Marks!$D$4:$D$503,B48,Marks!$A$4:$A$503,E48,Marks!$O$4:$O$503,"FAIL")&gt;0,"FAIL","PASS")</f>
        <v/>
      </c>
    </row>
    <row r="49">
      <c r="F49">
        <f>IF(B49="","",COUNTIFS(Marks!$D$4:$D$503,B49,Marks!$A$4:$A$503,E49))</f>
        <v/>
      </c>
      <c r="G49">
        <f>IF(B49="","",SUMIFS(Marks!$L$4:$L$503,Marks!$D$4:$D$503,B49,Marks!$A$4:$A$503,E49))</f>
        <v/>
      </c>
      <c r="H49">
        <f>IF(B49="","",SUMIFS(Marks!$H$4:$H$503,Marks!$D$4:$D$503,B49,Marks!$A$4:$A$503,E49))</f>
        <v/>
      </c>
      <c r="I49" s="9">
        <f>IFERROR(G49/H49*100,"")</f>
        <v/>
      </c>
      <c r="J49">
        <f>IF(I49="","",IF(I49&gt;=90,"A+",IF(I49&gt;=80,"A",IF(I49&gt;=70,"B+",IF(I49&gt;=60,"B",IF(I49&gt;=50,"C+",IF(I49&gt;=40,"C","F")))))))</f>
        <v/>
      </c>
      <c r="K49">
        <f>IF(COUNTIFS(Marks!$D$4:$D$503,B49,Marks!$A$4:$A$503,E49,Marks!$O$4:$O$503,"FAIL")&gt;0,"FAIL","PASS")</f>
        <v/>
      </c>
    </row>
    <row r="50">
      <c r="F50">
        <f>IF(B50="","",COUNTIFS(Marks!$D$4:$D$503,B50,Marks!$A$4:$A$503,E50))</f>
        <v/>
      </c>
      <c r="G50">
        <f>IF(B50="","",SUMIFS(Marks!$L$4:$L$503,Marks!$D$4:$D$503,B50,Marks!$A$4:$A$503,E50))</f>
        <v/>
      </c>
      <c r="H50">
        <f>IF(B50="","",SUMIFS(Marks!$H$4:$H$503,Marks!$D$4:$D$503,B50,Marks!$A$4:$A$503,E50))</f>
        <v/>
      </c>
      <c r="I50" s="9">
        <f>IFERROR(G50/H50*100,"")</f>
        <v/>
      </c>
      <c r="J50">
        <f>IF(I50="","",IF(I50&gt;=90,"A+",IF(I50&gt;=80,"A",IF(I50&gt;=70,"B+",IF(I50&gt;=60,"B",IF(I50&gt;=50,"C+",IF(I50&gt;=40,"C","F")))))))</f>
        <v/>
      </c>
      <c r="K50">
        <f>IF(COUNTIFS(Marks!$D$4:$D$503,B50,Marks!$A$4:$A$503,E50,Marks!$O$4:$O$503,"FAIL")&gt;0,"FAIL","PASS")</f>
        <v/>
      </c>
    </row>
    <row r="51">
      <c r="F51">
        <f>IF(B51="","",COUNTIFS(Marks!$D$4:$D$503,B51,Marks!$A$4:$A$503,E51))</f>
        <v/>
      </c>
      <c r="G51">
        <f>IF(B51="","",SUMIFS(Marks!$L$4:$L$503,Marks!$D$4:$D$503,B51,Marks!$A$4:$A$503,E51))</f>
        <v/>
      </c>
      <c r="H51">
        <f>IF(B51="","",SUMIFS(Marks!$H$4:$H$503,Marks!$D$4:$D$503,B51,Marks!$A$4:$A$503,E51))</f>
        <v/>
      </c>
      <c r="I51" s="9">
        <f>IFERROR(G51/H51*100,"")</f>
        <v/>
      </c>
      <c r="J51">
        <f>IF(I51="","",IF(I51&gt;=90,"A+",IF(I51&gt;=80,"A",IF(I51&gt;=70,"B+",IF(I51&gt;=60,"B",IF(I51&gt;=50,"C+",IF(I51&gt;=40,"C","F")))))))</f>
        <v/>
      </c>
      <c r="K51">
        <f>IF(COUNTIFS(Marks!$D$4:$D$503,B51,Marks!$A$4:$A$503,E51,Marks!$O$4:$O$503,"FAIL")&gt;0,"FAIL","PASS")</f>
        <v/>
      </c>
    </row>
    <row r="52">
      <c r="F52">
        <f>IF(B52="","",COUNTIFS(Marks!$D$4:$D$503,B52,Marks!$A$4:$A$503,E52))</f>
        <v/>
      </c>
      <c r="G52">
        <f>IF(B52="","",SUMIFS(Marks!$L$4:$L$503,Marks!$D$4:$D$503,B52,Marks!$A$4:$A$503,E52))</f>
        <v/>
      </c>
      <c r="H52">
        <f>IF(B52="","",SUMIFS(Marks!$H$4:$H$503,Marks!$D$4:$D$503,B52,Marks!$A$4:$A$503,E52))</f>
        <v/>
      </c>
      <c r="I52" s="9">
        <f>IFERROR(G52/H52*100,"")</f>
        <v/>
      </c>
      <c r="J52">
        <f>IF(I52="","",IF(I52&gt;=90,"A+",IF(I52&gt;=80,"A",IF(I52&gt;=70,"B+",IF(I52&gt;=60,"B",IF(I52&gt;=50,"C+",IF(I52&gt;=40,"C","F")))))))</f>
        <v/>
      </c>
      <c r="K52">
        <f>IF(COUNTIFS(Marks!$D$4:$D$503,B52,Marks!$A$4:$A$503,E52,Marks!$O$4:$O$503,"FAIL")&gt;0,"FAIL","PASS")</f>
        <v/>
      </c>
    </row>
    <row r="53">
      <c r="F53">
        <f>IF(B53="","",COUNTIFS(Marks!$D$4:$D$503,B53,Marks!$A$4:$A$503,E53))</f>
        <v/>
      </c>
      <c r="G53">
        <f>IF(B53="","",SUMIFS(Marks!$L$4:$L$503,Marks!$D$4:$D$503,B53,Marks!$A$4:$A$503,E53))</f>
        <v/>
      </c>
      <c r="H53">
        <f>IF(B53="","",SUMIFS(Marks!$H$4:$H$503,Marks!$D$4:$D$503,B53,Marks!$A$4:$A$503,E53))</f>
        <v/>
      </c>
      <c r="I53" s="9">
        <f>IFERROR(G53/H53*100,"")</f>
        <v/>
      </c>
      <c r="J53">
        <f>IF(I53="","",IF(I53&gt;=90,"A+",IF(I53&gt;=80,"A",IF(I53&gt;=70,"B+",IF(I53&gt;=60,"B",IF(I53&gt;=50,"C+",IF(I53&gt;=40,"C","F")))))))</f>
        <v/>
      </c>
      <c r="K53">
        <f>IF(COUNTIFS(Marks!$D$4:$D$503,B53,Marks!$A$4:$A$503,E53,Marks!$O$4:$O$503,"FAIL")&gt;0,"FAIL","PASS")</f>
        <v/>
      </c>
    </row>
    <row r="54">
      <c r="F54">
        <f>IF(B54="","",COUNTIFS(Marks!$D$4:$D$503,B54,Marks!$A$4:$A$503,E54))</f>
        <v/>
      </c>
      <c r="G54">
        <f>IF(B54="","",SUMIFS(Marks!$L$4:$L$503,Marks!$D$4:$D$503,B54,Marks!$A$4:$A$503,E54))</f>
        <v/>
      </c>
      <c r="H54">
        <f>IF(B54="","",SUMIFS(Marks!$H$4:$H$503,Marks!$D$4:$D$503,B54,Marks!$A$4:$A$503,E54))</f>
        <v/>
      </c>
      <c r="I54" s="9">
        <f>IFERROR(G54/H54*100,"")</f>
        <v/>
      </c>
      <c r="J54">
        <f>IF(I54="","",IF(I54&gt;=90,"A+",IF(I54&gt;=80,"A",IF(I54&gt;=70,"B+",IF(I54&gt;=60,"B",IF(I54&gt;=50,"C+",IF(I54&gt;=40,"C","F")))))))</f>
        <v/>
      </c>
      <c r="K54">
        <f>IF(COUNTIFS(Marks!$D$4:$D$503,B54,Marks!$A$4:$A$503,E54,Marks!$O$4:$O$503,"FAIL")&gt;0,"FAIL","PASS")</f>
        <v/>
      </c>
    </row>
    <row r="55">
      <c r="F55">
        <f>IF(B55="","",COUNTIFS(Marks!$D$4:$D$503,B55,Marks!$A$4:$A$503,E55))</f>
        <v/>
      </c>
      <c r="G55">
        <f>IF(B55="","",SUMIFS(Marks!$L$4:$L$503,Marks!$D$4:$D$503,B55,Marks!$A$4:$A$503,E55))</f>
        <v/>
      </c>
      <c r="H55">
        <f>IF(B55="","",SUMIFS(Marks!$H$4:$H$503,Marks!$D$4:$D$503,B55,Marks!$A$4:$A$503,E55))</f>
        <v/>
      </c>
      <c r="I55" s="9">
        <f>IFERROR(G55/H55*100,"")</f>
        <v/>
      </c>
      <c r="J55">
        <f>IF(I55="","",IF(I55&gt;=90,"A+",IF(I55&gt;=80,"A",IF(I55&gt;=70,"B+",IF(I55&gt;=60,"B",IF(I55&gt;=50,"C+",IF(I55&gt;=40,"C","F")))))))</f>
        <v/>
      </c>
      <c r="K55">
        <f>IF(COUNTIFS(Marks!$D$4:$D$503,B55,Marks!$A$4:$A$503,E55,Marks!$O$4:$O$503,"FAIL")&gt;0,"FAIL","PASS")</f>
        <v/>
      </c>
    </row>
    <row r="56">
      <c r="F56">
        <f>IF(B56="","",COUNTIFS(Marks!$D$4:$D$503,B56,Marks!$A$4:$A$503,E56))</f>
        <v/>
      </c>
      <c r="G56">
        <f>IF(B56="","",SUMIFS(Marks!$L$4:$L$503,Marks!$D$4:$D$503,B56,Marks!$A$4:$A$503,E56))</f>
        <v/>
      </c>
      <c r="H56">
        <f>IF(B56="","",SUMIFS(Marks!$H$4:$H$503,Marks!$D$4:$D$503,B56,Marks!$A$4:$A$503,E56))</f>
        <v/>
      </c>
      <c r="I56" s="9">
        <f>IFERROR(G56/H56*100,"")</f>
        <v/>
      </c>
      <c r="J56">
        <f>IF(I56="","",IF(I56&gt;=90,"A+",IF(I56&gt;=80,"A",IF(I56&gt;=70,"B+",IF(I56&gt;=60,"B",IF(I56&gt;=50,"C+",IF(I56&gt;=40,"C","F")))))))</f>
        <v/>
      </c>
      <c r="K56">
        <f>IF(COUNTIFS(Marks!$D$4:$D$503,B56,Marks!$A$4:$A$503,E56,Marks!$O$4:$O$503,"FAIL")&gt;0,"FAIL","PASS")</f>
        <v/>
      </c>
    </row>
    <row r="57">
      <c r="F57">
        <f>IF(B57="","",COUNTIFS(Marks!$D$4:$D$503,B57,Marks!$A$4:$A$503,E57))</f>
        <v/>
      </c>
      <c r="G57">
        <f>IF(B57="","",SUMIFS(Marks!$L$4:$L$503,Marks!$D$4:$D$503,B57,Marks!$A$4:$A$503,E57))</f>
        <v/>
      </c>
      <c r="H57">
        <f>IF(B57="","",SUMIFS(Marks!$H$4:$H$503,Marks!$D$4:$D$503,B57,Marks!$A$4:$A$503,E57))</f>
        <v/>
      </c>
      <c r="I57" s="9">
        <f>IFERROR(G57/H57*100,"")</f>
        <v/>
      </c>
      <c r="J57">
        <f>IF(I57="","",IF(I57&gt;=90,"A+",IF(I57&gt;=80,"A",IF(I57&gt;=70,"B+",IF(I57&gt;=60,"B",IF(I57&gt;=50,"C+",IF(I57&gt;=40,"C","F")))))))</f>
        <v/>
      </c>
      <c r="K57">
        <f>IF(COUNTIFS(Marks!$D$4:$D$503,B57,Marks!$A$4:$A$503,E57,Marks!$O$4:$O$503,"FAIL")&gt;0,"FAIL","PASS")</f>
        <v/>
      </c>
    </row>
    <row r="58">
      <c r="F58">
        <f>IF(B58="","",COUNTIFS(Marks!$D$4:$D$503,B58,Marks!$A$4:$A$503,E58))</f>
        <v/>
      </c>
      <c r="G58">
        <f>IF(B58="","",SUMIFS(Marks!$L$4:$L$503,Marks!$D$4:$D$503,B58,Marks!$A$4:$A$503,E58))</f>
        <v/>
      </c>
      <c r="H58">
        <f>IF(B58="","",SUMIFS(Marks!$H$4:$H$503,Marks!$D$4:$D$503,B58,Marks!$A$4:$A$503,E58))</f>
        <v/>
      </c>
      <c r="I58" s="9">
        <f>IFERROR(G58/H58*100,"")</f>
        <v/>
      </c>
      <c r="J58">
        <f>IF(I58="","",IF(I58&gt;=90,"A+",IF(I58&gt;=80,"A",IF(I58&gt;=70,"B+",IF(I58&gt;=60,"B",IF(I58&gt;=50,"C+",IF(I58&gt;=40,"C","F")))))))</f>
        <v/>
      </c>
      <c r="K58">
        <f>IF(COUNTIFS(Marks!$D$4:$D$503,B58,Marks!$A$4:$A$503,E58,Marks!$O$4:$O$503,"FAIL")&gt;0,"FAIL","PASS")</f>
        <v/>
      </c>
    </row>
    <row r="59">
      <c r="F59">
        <f>IF(B59="","",COUNTIFS(Marks!$D$4:$D$503,B59,Marks!$A$4:$A$503,E59))</f>
        <v/>
      </c>
      <c r="G59">
        <f>IF(B59="","",SUMIFS(Marks!$L$4:$L$503,Marks!$D$4:$D$503,B59,Marks!$A$4:$A$503,E59))</f>
        <v/>
      </c>
      <c r="H59">
        <f>IF(B59="","",SUMIFS(Marks!$H$4:$H$503,Marks!$D$4:$D$503,B59,Marks!$A$4:$A$503,E59))</f>
        <v/>
      </c>
      <c r="I59" s="9">
        <f>IFERROR(G59/H59*100,"")</f>
        <v/>
      </c>
      <c r="J59">
        <f>IF(I59="","",IF(I59&gt;=90,"A+",IF(I59&gt;=80,"A",IF(I59&gt;=70,"B+",IF(I59&gt;=60,"B",IF(I59&gt;=50,"C+",IF(I59&gt;=40,"C","F")))))))</f>
        <v/>
      </c>
      <c r="K59">
        <f>IF(COUNTIFS(Marks!$D$4:$D$503,B59,Marks!$A$4:$A$503,E59,Marks!$O$4:$O$503,"FAIL")&gt;0,"FAIL","PASS")</f>
        <v/>
      </c>
    </row>
    <row r="60">
      <c r="F60">
        <f>IF(B60="","",COUNTIFS(Marks!$D$4:$D$503,B60,Marks!$A$4:$A$503,E60))</f>
        <v/>
      </c>
      <c r="G60">
        <f>IF(B60="","",SUMIFS(Marks!$L$4:$L$503,Marks!$D$4:$D$503,B60,Marks!$A$4:$A$503,E60))</f>
        <v/>
      </c>
      <c r="H60">
        <f>IF(B60="","",SUMIFS(Marks!$H$4:$H$503,Marks!$D$4:$D$503,B60,Marks!$A$4:$A$503,E60))</f>
        <v/>
      </c>
      <c r="I60" s="9">
        <f>IFERROR(G60/H60*100,"")</f>
        <v/>
      </c>
      <c r="J60">
        <f>IF(I60="","",IF(I60&gt;=90,"A+",IF(I60&gt;=80,"A",IF(I60&gt;=70,"B+",IF(I60&gt;=60,"B",IF(I60&gt;=50,"C+",IF(I60&gt;=40,"C","F")))))))</f>
        <v/>
      </c>
      <c r="K60">
        <f>IF(COUNTIFS(Marks!$D$4:$D$503,B60,Marks!$A$4:$A$503,E60,Marks!$O$4:$O$503,"FAIL")&gt;0,"FAIL","PASS")</f>
        <v/>
      </c>
    </row>
    <row r="61">
      <c r="F61">
        <f>IF(B61="","",COUNTIFS(Marks!$D$4:$D$503,B61,Marks!$A$4:$A$503,E61))</f>
        <v/>
      </c>
      <c r="G61">
        <f>IF(B61="","",SUMIFS(Marks!$L$4:$L$503,Marks!$D$4:$D$503,B61,Marks!$A$4:$A$503,E61))</f>
        <v/>
      </c>
      <c r="H61">
        <f>IF(B61="","",SUMIFS(Marks!$H$4:$H$503,Marks!$D$4:$D$503,B61,Marks!$A$4:$A$503,E61))</f>
        <v/>
      </c>
      <c r="I61" s="9">
        <f>IFERROR(G61/H61*100,"")</f>
        <v/>
      </c>
      <c r="J61">
        <f>IF(I61="","",IF(I61&gt;=90,"A+",IF(I61&gt;=80,"A",IF(I61&gt;=70,"B+",IF(I61&gt;=60,"B",IF(I61&gt;=50,"C+",IF(I61&gt;=40,"C","F")))))))</f>
        <v/>
      </c>
      <c r="K61">
        <f>IF(COUNTIFS(Marks!$D$4:$D$503,B61,Marks!$A$4:$A$503,E61,Marks!$O$4:$O$503,"FAIL")&gt;0,"FAIL","PASS")</f>
        <v/>
      </c>
    </row>
    <row r="62">
      <c r="F62">
        <f>IF(B62="","",COUNTIFS(Marks!$D$4:$D$503,B62,Marks!$A$4:$A$503,E62))</f>
        <v/>
      </c>
      <c r="G62">
        <f>IF(B62="","",SUMIFS(Marks!$L$4:$L$503,Marks!$D$4:$D$503,B62,Marks!$A$4:$A$503,E62))</f>
        <v/>
      </c>
      <c r="H62">
        <f>IF(B62="","",SUMIFS(Marks!$H$4:$H$503,Marks!$D$4:$D$503,B62,Marks!$A$4:$A$503,E62))</f>
        <v/>
      </c>
      <c r="I62" s="9">
        <f>IFERROR(G62/H62*100,"")</f>
        <v/>
      </c>
      <c r="J62">
        <f>IF(I62="","",IF(I62&gt;=90,"A+",IF(I62&gt;=80,"A",IF(I62&gt;=70,"B+",IF(I62&gt;=60,"B",IF(I62&gt;=50,"C+",IF(I62&gt;=40,"C","F")))))))</f>
        <v/>
      </c>
      <c r="K62">
        <f>IF(COUNTIFS(Marks!$D$4:$D$503,B62,Marks!$A$4:$A$503,E62,Marks!$O$4:$O$503,"FAIL")&gt;0,"FAIL","PASS")</f>
        <v/>
      </c>
    </row>
    <row r="63">
      <c r="F63">
        <f>IF(B63="","",COUNTIFS(Marks!$D$4:$D$503,B63,Marks!$A$4:$A$503,E63))</f>
        <v/>
      </c>
      <c r="G63">
        <f>IF(B63="","",SUMIFS(Marks!$L$4:$L$503,Marks!$D$4:$D$503,B63,Marks!$A$4:$A$503,E63))</f>
        <v/>
      </c>
      <c r="H63">
        <f>IF(B63="","",SUMIFS(Marks!$H$4:$H$503,Marks!$D$4:$D$503,B63,Marks!$A$4:$A$503,E63))</f>
        <v/>
      </c>
      <c r="I63" s="9">
        <f>IFERROR(G63/H63*100,"")</f>
        <v/>
      </c>
      <c r="J63">
        <f>IF(I63="","",IF(I63&gt;=90,"A+",IF(I63&gt;=80,"A",IF(I63&gt;=70,"B+",IF(I63&gt;=60,"B",IF(I63&gt;=50,"C+",IF(I63&gt;=40,"C","F")))))))</f>
        <v/>
      </c>
      <c r="K63">
        <f>IF(COUNTIFS(Marks!$D$4:$D$503,B63,Marks!$A$4:$A$503,E63,Marks!$O$4:$O$503,"FAIL")&gt;0,"FAIL","PASS")</f>
        <v/>
      </c>
    </row>
    <row r="64">
      <c r="F64">
        <f>IF(B64="","",COUNTIFS(Marks!$D$4:$D$503,B64,Marks!$A$4:$A$503,E64))</f>
        <v/>
      </c>
      <c r="G64">
        <f>IF(B64="","",SUMIFS(Marks!$L$4:$L$503,Marks!$D$4:$D$503,B64,Marks!$A$4:$A$503,E64))</f>
        <v/>
      </c>
      <c r="H64">
        <f>IF(B64="","",SUMIFS(Marks!$H$4:$H$503,Marks!$D$4:$D$503,B64,Marks!$A$4:$A$503,E64))</f>
        <v/>
      </c>
      <c r="I64" s="9">
        <f>IFERROR(G64/H64*100,"")</f>
        <v/>
      </c>
      <c r="J64">
        <f>IF(I64="","",IF(I64&gt;=90,"A+",IF(I64&gt;=80,"A",IF(I64&gt;=70,"B+",IF(I64&gt;=60,"B",IF(I64&gt;=50,"C+",IF(I64&gt;=40,"C","F")))))))</f>
        <v/>
      </c>
      <c r="K64">
        <f>IF(COUNTIFS(Marks!$D$4:$D$503,B64,Marks!$A$4:$A$503,E64,Marks!$O$4:$O$503,"FAIL")&gt;0,"FAIL","PASS")</f>
        <v/>
      </c>
    </row>
    <row r="65">
      <c r="F65">
        <f>IF(B65="","",COUNTIFS(Marks!$D$4:$D$503,B65,Marks!$A$4:$A$503,E65))</f>
        <v/>
      </c>
      <c r="G65">
        <f>IF(B65="","",SUMIFS(Marks!$L$4:$L$503,Marks!$D$4:$D$503,B65,Marks!$A$4:$A$503,E65))</f>
        <v/>
      </c>
      <c r="H65">
        <f>IF(B65="","",SUMIFS(Marks!$H$4:$H$503,Marks!$D$4:$D$503,B65,Marks!$A$4:$A$503,E65))</f>
        <v/>
      </c>
      <c r="I65" s="9">
        <f>IFERROR(G65/H65*100,"")</f>
        <v/>
      </c>
      <c r="J65">
        <f>IF(I65="","",IF(I65&gt;=90,"A+",IF(I65&gt;=80,"A",IF(I65&gt;=70,"B+",IF(I65&gt;=60,"B",IF(I65&gt;=50,"C+",IF(I65&gt;=40,"C","F")))))))</f>
        <v/>
      </c>
      <c r="K65">
        <f>IF(COUNTIFS(Marks!$D$4:$D$503,B65,Marks!$A$4:$A$503,E65,Marks!$O$4:$O$503,"FAIL")&gt;0,"FAIL","PASS")</f>
        <v/>
      </c>
    </row>
    <row r="66">
      <c r="F66">
        <f>IF(B66="","",COUNTIFS(Marks!$D$4:$D$503,B66,Marks!$A$4:$A$503,E66))</f>
        <v/>
      </c>
      <c r="G66">
        <f>IF(B66="","",SUMIFS(Marks!$L$4:$L$503,Marks!$D$4:$D$503,B66,Marks!$A$4:$A$503,E66))</f>
        <v/>
      </c>
      <c r="H66">
        <f>IF(B66="","",SUMIFS(Marks!$H$4:$H$503,Marks!$D$4:$D$503,B66,Marks!$A$4:$A$503,E66))</f>
        <v/>
      </c>
      <c r="I66" s="9">
        <f>IFERROR(G66/H66*100,"")</f>
        <v/>
      </c>
      <c r="J66">
        <f>IF(I66="","",IF(I66&gt;=90,"A+",IF(I66&gt;=80,"A",IF(I66&gt;=70,"B+",IF(I66&gt;=60,"B",IF(I66&gt;=50,"C+",IF(I66&gt;=40,"C","F")))))))</f>
        <v/>
      </c>
      <c r="K66">
        <f>IF(COUNTIFS(Marks!$D$4:$D$503,B66,Marks!$A$4:$A$503,E66,Marks!$O$4:$O$503,"FAIL")&gt;0,"FAIL","PASS")</f>
        <v/>
      </c>
    </row>
    <row r="67">
      <c r="F67">
        <f>IF(B67="","",COUNTIFS(Marks!$D$4:$D$503,B67,Marks!$A$4:$A$503,E67))</f>
        <v/>
      </c>
      <c r="G67">
        <f>IF(B67="","",SUMIFS(Marks!$L$4:$L$503,Marks!$D$4:$D$503,B67,Marks!$A$4:$A$503,E67))</f>
        <v/>
      </c>
      <c r="H67">
        <f>IF(B67="","",SUMIFS(Marks!$H$4:$H$503,Marks!$D$4:$D$503,B67,Marks!$A$4:$A$503,E67))</f>
        <v/>
      </c>
      <c r="I67" s="9">
        <f>IFERROR(G67/H67*100,"")</f>
        <v/>
      </c>
      <c r="J67">
        <f>IF(I67="","",IF(I67&gt;=90,"A+",IF(I67&gt;=80,"A",IF(I67&gt;=70,"B+",IF(I67&gt;=60,"B",IF(I67&gt;=50,"C+",IF(I67&gt;=40,"C","F")))))))</f>
        <v/>
      </c>
      <c r="K67">
        <f>IF(COUNTIFS(Marks!$D$4:$D$503,B67,Marks!$A$4:$A$503,E67,Marks!$O$4:$O$503,"FAIL")&gt;0,"FAIL","PASS")</f>
        <v/>
      </c>
    </row>
    <row r="68">
      <c r="F68">
        <f>IF(B68="","",COUNTIFS(Marks!$D$4:$D$503,B68,Marks!$A$4:$A$503,E68))</f>
        <v/>
      </c>
      <c r="G68">
        <f>IF(B68="","",SUMIFS(Marks!$L$4:$L$503,Marks!$D$4:$D$503,B68,Marks!$A$4:$A$503,E68))</f>
        <v/>
      </c>
      <c r="H68">
        <f>IF(B68="","",SUMIFS(Marks!$H$4:$H$503,Marks!$D$4:$D$503,B68,Marks!$A$4:$A$503,E68))</f>
        <v/>
      </c>
      <c r="I68" s="9">
        <f>IFERROR(G68/H68*100,"")</f>
        <v/>
      </c>
      <c r="J68">
        <f>IF(I68="","",IF(I68&gt;=90,"A+",IF(I68&gt;=80,"A",IF(I68&gt;=70,"B+",IF(I68&gt;=60,"B",IF(I68&gt;=50,"C+",IF(I68&gt;=40,"C","F")))))))</f>
        <v/>
      </c>
      <c r="K68">
        <f>IF(COUNTIFS(Marks!$D$4:$D$503,B68,Marks!$A$4:$A$503,E68,Marks!$O$4:$O$503,"FAIL")&gt;0,"FAIL","PASS")</f>
        <v/>
      </c>
    </row>
    <row r="69">
      <c r="F69">
        <f>IF(B69="","",COUNTIFS(Marks!$D$4:$D$503,B69,Marks!$A$4:$A$503,E69))</f>
        <v/>
      </c>
      <c r="G69">
        <f>IF(B69="","",SUMIFS(Marks!$L$4:$L$503,Marks!$D$4:$D$503,B69,Marks!$A$4:$A$503,E69))</f>
        <v/>
      </c>
      <c r="H69">
        <f>IF(B69="","",SUMIFS(Marks!$H$4:$H$503,Marks!$D$4:$D$503,B69,Marks!$A$4:$A$503,E69))</f>
        <v/>
      </c>
      <c r="I69" s="9">
        <f>IFERROR(G69/H69*100,"")</f>
        <v/>
      </c>
      <c r="J69">
        <f>IF(I69="","",IF(I69&gt;=90,"A+",IF(I69&gt;=80,"A",IF(I69&gt;=70,"B+",IF(I69&gt;=60,"B",IF(I69&gt;=50,"C+",IF(I69&gt;=40,"C","F")))))))</f>
        <v/>
      </c>
      <c r="K69">
        <f>IF(COUNTIFS(Marks!$D$4:$D$503,B69,Marks!$A$4:$A$503,E69,Marks!$O$4:$O$503,"FAIL")&gt;0,"FAIL","PASS")</f>
        <v/>
      </c>
    </row>
    <row r="70">
      <c r="F70">
        <f>IF(B70="","",COUNTIFS(Marks!$D$4:$D$503,B70,Marks!$A$4:$A$503,E70))</f>
        <v/>
      </c>
      <c r="G70">
        <f>IF(B70="","",SUMIFS(Marks!$L$4:$L$503,Marks!$D$4:$D$503,B70,Marks!$A$4:$A$503,E70))</f>
        <v/>
      </c>
      <c r="H70">
        <f>IF(B70="","",SUMIFS(Marks!$H$4:$H$503,Marks!$D$4:$D$503,B70,Marks!$A$4:$A$503,E70))</f>
        <v/>
      </c>
      <c r="I70" s="9">
        <f>IFERROR(G70/H70*100,"")</f>
        <v/>
      </c>
      <c r="J70">
        <f>IF(I70="","",IF(I70&gt;=90,"A+",IF(I70&gt;=80,"A",IF(I70&gt;=70,"B+",IF(I70&gt;=60,"B",IF(I70&gt;=50,"C+",IF(I70&gt;=40,"C","F")))))))</f>
        <v/>
      </c>
      <c r="K70">
        <f>IF(COUNTIFS(Marks!$D$4:$D$503,B70,Marks!$A$4:$A$503,E70,Marks!$O$4:$O$503,"FAIL")&gt;0,"FAIL","PASS")</f>
        <v/>
      </c>
    </row>
    <row r="71">
      <c r="F71">
        <f>IF(B71="","",COUNTIFS(Marks!$D$4:$D$503,B71,Marks!$A$4:$A$503,E71))</f>
        <v/>
      </c>
      <c r="G71">
        <f>IF(B71="","",SUMIFS(Marks!$L$4:$L$503,Marks!$D$4:$D$503,B71,Marks!$A$4:$A$503,E71))</f>
        <v/>
      </c>
      <c r="H71">
        <f>IF(B71="","",SUMIFS(Marks!$H$4:$H$503,Marks!$D$4:$D$503,B71,Marks!$A$4:$A$503,E71))</f>
        <v/>
      </c>
      <c r="I71" s="9">
        <f>IFERROR(G71/H71*100,"")</f>
        <v/>
      </c>
      <c r="J71">
        <f>IF(I71="","",IF(I71&gt;=90,"A+",IF(I71&gt;=80,"A",IF(I71&gt;=70,"B+",IF(I71&gt;=60,"B",IF(I71&gt;=50,"C+",IF(I71&gt;=40,"C","F")))))))</f>
        <v/>
      </c>
      <c r="K71">
        <f>IF(COUNTIFS(Marks!$D$4:$D$503,B71,Marks!$A$4:$A$503,E71,Marks!$O$4:$O$503,"FAIL")&gt;0,"FAIL","PASS")</f>
        <v/>
      </c>
    </row>
    <row r="72">
      <c r="F72">
        <f>IF(B72="","",COUNTIFS(Marks!$D$4:$D$503,B72,Marks!$A$4:$A$503,E72))</f>
        <v/>
      </c>
      <c r="G72">
        <f>IF(B72="","",SUMIFS(Marks!$L$4:$L$503,Marks!$D$4:$D$503,B72,Marks!$A$4:$A$503,E72))</f>
        <v/>
      </c>
      <c r="H72">
        <f>IF(B72="","",SUMIFS(Marks!$H$4:$H$503,Marks!$D$4:$D$503,B72,Marks!$A$4:$A$503,E72))</f>
        <v/>
      </c>
      <c r="I72" s="9">
        <f>IFERROR(G72/H72*100,"")</f>
        <v/>
      </c>
      <c r="J72">
        <f>IF(I72="","",IF(I72&gt;=90,"A+",IF(I72&gt;=80,"A",IF(I72&gt;=70,"B+",IF(I72&gt;=60,"B",IF(I72&gt;=50,"C+",IF(I72&gt;=40,"C","F")))))))</f>
        <v/>
      </c>
      <c r="K72">
        <f>IF(COUNTIFS(Marks!$D$4:$D$503,B72,Marks!$A$4:$A$503,E72,Marks!$O$4:$O$503,"FAIL")&gt;0,"FAIL","PASS")</f>
        <v/>
      </c>
    </row>
    <row r="73">
      <c r="F73">
        <f>IF(B73="","",COUNTIFS(Marks!$D$4:$D$503,B73,Marks!$A$4:$A$503,E73))</f>
        <v/>
      </c>
      <c r="G73">
        <f>IF(B73="","",SUMIFS(Marks!$L$4:$L$503,Marks!$D$4:$D$503,B73,Marks!$A$4:$A$503,E73))</f>
        <v/>
      </c>
      <c r="H73">
        <f>IF(B73="","",SUMIFS(Marks!$H$4:$H$503,Marks!$D$4:$D$503,B73,Marks!$A$4:$A$503,E73))</f>
        <v/>
      </c>
      <c r="I73" s="9">
        <f>IFERROR(G73/H73*100,"")</f>
        <v/>
      </c>
      <c r="J73">
        <f>IF(I73="","",IF(I73&gt;=90,"A+",IF(I73&gt;=80,"A",IF(I73&gt;=70,"B+",IF(I73&gt;=60,"B",IF(I73&gt;=50,"C+",IF(I73&gt;=40,"C","F")))))))</f>
        <v/>
      </c>
      <c r="K73">
        <f>IF(COUNTIFS(Marks!$D$4:$D$503,B73,Marks!$A$4:$A$503,E73,Marks!$O$4:$O$503,"FAIL")&gt;0,"FAIL","PASS")</f>
        <v/>
      </c>
    </row>
    <row r="74">
      <c r="F74">
        <f>IF(B74="","",COUNTIFS(Marks!$D$4:$D$503,B74,Marks!$A$4:$A$503,E74))</f>
        <v/>
      </c>
      <c r="G74">
        <f>IF(B74="","",SUMIFS(Marks!$L$4:$L$503,Marks!$D$4:$D$503,B74,Marks!$A$4:$A$503,E74))</f>
        <v/>
      </c>
      <c r="H74">
        <f>IF(B74="","",SUMIFS(Marks!$H$4:$H$503,Marks!$D$4:$D$503,B74,Marks!$A$4:$A$503,E74))</f>
        <v/>
      </c>
      <c r="I74" s="9">
        <f>IFERROR(G74/H74*100,"")</f>
        <v/>
      </c>
      <c r="J74">
        <f>IF(I74="","",IF(I74&gt;=90,"A+",IF(I74&gt;=80,"A",IF(I74&gt;=70,"B+",IF(I74&gt;=60,"B",IF(I74&gt;=50,"C+",IF(I74&gt;=40,"C","F")))))))</f>
        <v/>
      </c>
      <c r="K74">
        <f>IF(COUNTIFS(Marks!$D$4:$D$503,B74,Marks!$A$4:$A$503,E74,Marks!$O$4:$O$503,"FAIL")&gt;0,"FAIL","PASS")</f>
        <v/>
      </c>
    </row>
    <row r="75">
      <c r="F75">
        <f>IF(B75="","",COUNTIFS(Marks!$D$4:$D$503,B75,Marks!$A$4:$A$503,E75))</f>
        <v/>
      </c>
      <c r="G75">
        <f>IF(B75="","",SUMIFS(Marks!$L$4:$L$503,Marks!$D$4:$D$503,B75,Marks!$A$4:$A$503,E75))</f>
        <v/>
      </c>
      <c r="H75">
        <f>IF(B75="","",SUMIFS(Marks!$H$4:$H$503,Marks!$D$4:$D$503,B75,Marks!$A$4:$A$503,E75))</f>
        <v/>
      </c>
      <c r="I75" s="9">
        <f>IFERROR(G75/H75*100,"")</f>
        <v/>
      </c>
      <c r="J75">
        <f>IF(I75="","",IF(I75&gt;=90,"A+",IF(I75&gt;=80,"A",IF(I75&gt;=70,"B+",IF(I75&gt;=60,"B",IF(I75&gt;=50,"C+",IF(I75&gt;=40,"C","F")))))))</f>
        <v/>
      </c>
      <c r="K75">
        <f>IF(COUNTIFS(Marks!$D$4:$D$503,B75,Marks!$A$4:$A$503,E75,Marks!$O$4:$O$503,"FAIL")&gt;0,"FAIL","PASS")</f>
        <v/>
      </c>
    </row>
    <row r="76">
      <c r="F76">
        <f>IF(B76="","",COUNTIFS(Marks!$D$4:$D$503,B76,Marks!$A$4:$A$503,E76))</f>
        <v/>
      </c>
      <c r="G76">
        <f>IF(B76="","",SUMIFS(Marks!$L$4:$L$503,Marks!$D$4:$D$503,B76,Marks!$A$4:$A$503,E76))</f>
        <v/>
      </c>
      <c r="H76">
        <f>IF(B76="","",SUMIFS(Marks!$H$4:$H$503,Marks!$D$4:$D$503,B76,Marks!$A$4:$A$503,E76))</f>
        <v/>
      </c>
      <c r="I76" s="9">
        <f>IFERROR(G76/H76*100,"")</f>
        <v/>
      </c>
      <c r="J76">
        <f>IF(I76="","",IF(I76&gt;=90,"A+",IF(I76&gt;=80,"A",IF(I76&gt;=70,"B+",IF(I76&gt;=60,"B",IF(I76&gt;=50,"C+",IF(I76&gt;=40,"C","F")))))))</f>
        <v/>
      </c>
      <c r="K76">
        <f>IF(COUNTIFS(Marks!$D$4:$D$503,B76,Marks!$A$4:$A$503,E76,Marks!$O$4:$O$503,"FAIL")&gt;0,"FAIL","PASS")</f>
        <v/>
      </c>
    </row>
    <row r="77">
      <c r="F77">
        <f>IF(B77="","",COUNTIFS(Marks!$D$4:$D$503,B77,Marks!$A$4:$A$503,E77))</f>
        <v/>
      </c>
      <c r="G77">
        <f>IF(B77="","",SUMIFS(Marks!$L$4:$L$503,Marks!$D$4:$D$503,B77,Marks!$A$4:$A$503,E77))</f>
        <v/>
      </c>
      <c r="H77">
        <f>IF(B77="","",SUMIFS(Marks!$H$4:$H$503,Marks!$D$4:$D$503,B77,Marks!$A$4:$A$503,E77))</f>
        <v/>
      </c>
      <c r="I77" s="9">
        <f>IFERROR(G77/H77*100,"")</f>
        <v/>
      </c>
      <c r="J77">
        <f>IF(I77="","",IF(I77&gt;=90,"A+",IF(I77&gt;=80,"A",IF(I77&gt;=70,"B+",IF(I77&gt;=60,"B",IF(I77&gt;=50,"C+",IF(I77&gt;=40,"C","F")))))))</f>
        <v/>
      </c>
      <c r="K77">
        <f>IF(COUNTIFS(Marks!$D$4:$D$503,B77,Marks!$A$4:$A$503,E77,Marks!$O$4:$O$503,"FAIL")&gt;0,"FAIL","PASS")</f>
        <v/>
      </c>
    </row>
    <row r="78">
      <c r="F78">
        <f>IF(B78="","",COUNTIFS(Marks!$D$4:$D$503,B78,Marks!$A$4:$A$503,E78))</f>
        <v/>
      </c>
      <c r="G78">
        <f>IF(B78="","",SUMIFS(Marks!$L$4:$L$503,Marks!$D$4:$D$503,B78,Marks!$A$4:$A$503,E78))</f>
        <v/>
      </c>
      <c r="H78">
        <f>IF(B78="","",SUMIFS(Marks!$H$4:$H$503,Marks!$D$4:$D$503,B78,Marks!$A$4:$A$503,E78))</f>
        <v/>
      </c>
      <c r="I78" s="9">
        <f>IFERROR(G78/H78*100,"")</f>
        <v/>
      </c>
      <c r="J78">
        <f>IF(I78="","",IF(I78&gt;=90,"A+",IF(I78&gt;=80,"A",IF(I78&gt;=70,"B+",IF(I78&gt;=60,"B",IF(I78&gt;=50,"C+",IF(I78&gt;=40,"C","F")))))))</f>
        <v/>
      </c>
      <c r="K78">
        <f>IF(COUNTIFS(Marks!$D$4:$D$503,B78,Marks!$A$4:$A$503,E78,Marks!$O$4:$O$503,"FAIL")&gt;0,"FAIL","PASS")</f>
        <v/>
      </c>
    </row>
    <row r="79">
      <c r="F79">
        <f>IF(B79="","",COUNTIFS(Marks!$D$4:$D$503,B79,Marks!$A$4:$A$503,E79))</f>
        <v/>
      </c>
      <c r="G79">
        <f>IF(B79="","",SUMIFS(Marks!$L$4:$L$503,Marks!$D$4:$D$503,B79,Marks!$A$4:$A$503,E79))</f>
        <v/>
      </c>
      <c r="H79">
        <f>IF(B79="","",SUMIFS(Marks!$H$4:$H$503,Marks!$D$4:$D$503,B79,Marks!$A$4:$A$503,E79))</f>
        <v/>
      </c>
      <c r="I79" s="9">
        <f>IFERROR(G79/H79*100,"")</f>
        <v/>
      </c>
      <c r="J79">
        <f>IF(I79="","",IF(I79&gt;=90,"A+",IF(I79&gt;=80,"A",IF(I79&gt;=70,"B+",IF(I79&gt;=60,"B",IF(I79&gt;=50,"C+",IF(I79&gt;=40,"C","F")))))))</f>
        <v/>
      </c>
      <c r="K79">
        <f>IF(COUNTIFS(Marks!$D$4:$D$503,B79,Marks!$A$4:$A$503,E79,Marks!$O$4:$O$503,"FAIL")&gt;0,"FAIL","PASS")</f>
        <v/>
      </c>
    </row>
    <row r="80">
      <c r="F80">
        <f>IF(B80="","",COUNTIFS(Marks!$D$4:$D$503,B80,Marks!$A$4:$A$503,E80))</f>
        <v/>
      </c>
      <c r="G80">
        <f>IF(B80="","",SUMIFS(Marks!$L$4:$L$503,Marks!$D$4:$D$503,B80,Marks!$A$4:$A$503,E80))</f>
        <v/>
      </c>
      <c r="H80">
        <f>IF(B80="","",SUMIFS(Marks!$H$4:$H$503,Marks!$D$4:$D$503,B80,Marks!$A$4:$A$503,E80))</f>
        <v/>
      </c>
      <c r="I80" s="9">
        <f>IFERROR(G80/H80*100,"")</f>
        <v/>
      </c>
      <c r="J80">
        <f>IF(I80="","",IF(I80&gt;=90,"A+",IF(I80&gt;=80,"A",IF(I80&gt;=70,"B+",IF(I80&gt;=60,"B",IF(I80&gt;=50,"C+",IF(I80&gt;=40,"C","F")))))))</f>
        <v/>
      </c>
      <c r="K80">
        <f>IF(COUNTIFS(Marks!$D$4:$D$503,B80,Marks!$A$4:$A$503,E80,Marks!$O$4:$O$503,"FAIL")&gt;0,"FAIL","PASS")</f>
        <v/>
      </c>
    </row>
    <row r="81">
      <c r="F81">
        <f>IF(B81="","",COUNTIFS(Marks!$D$4:$D$503,B81,Marks!$A$4:$A$503,E81))</f>
        <v/>
      </c>
      <c r="G81">
        <f>IF(B81="","",SUMIFS(Marks!$L$4:$L$503,Marks!$D$4:$D$503,B81,Marks!$A$4:$A$503,E81))</f>
        <v/>
      </c>
      <c r="H81">
        <f>IF(B81="","",SUMIFS(Marks!$H$4:$H$503,Marks!$D$4:$D$503,B81,Marks!$A$4:$A$503,E81))</f>
        <v/>
      </c>
      <c r="I81" s="9">
        <f>IFERROR(G81/H81*100,"")</f>
        <v/>
      </c>
      <c r="J81">
        <f>IF(I81="","",IF(I81&gt;=90,"A+",IF(I81&gt;=80,"A",IF(I81&gt;=70,"B+",IF(I81&gt;=60,"B",IF(I81&gt;=50,"C+",IF(I81&gt;=40,"C","F")))))))</f>
        <v/>
      </c>
      <c r="K81">
        <f>IF(COUNTIFS(Marks!$D$4:$D$503,B81,Marks!$A$4:$A$503,E81,Marks!$O$4:$O$503,"FAIL")&gt;0,"FAIL","PASS")</f>
        <v/>
      </c>
    </row>
    <row r="82">
      <c r="F82">
        <f>IF(B82="","",COUNTIFS(Marks!$D$4:$D$503,B82,Marks!$A$4:$A$503,E82))</f>
        <v/>
      </c>
      <c r="G82">
        <f>IF(B82="","",SUMIFS(Marks!$L$4:$L$503,Marks!$D$4:$D$503,B82,Marks!$A$4:$A$503,E82))</f>
        <v/>
      </c>
      <c r="H82">
        <f>IF(B82="","",SUMIFS(Marks!$H$4:$H$503,Marks!$D$4:$D$503,B82,Marks!$A$4:$A$503,E82))</f>
        <v/>
      </c>
      <c r="I82" s="9">
        <f>IFERROR(G82/H82*100,"")</f>
        <v/>
      </c>
      <c r="J82">
        <f>IF(I82="","",IF(I82&gt;=90,"A+",IF(I82&gt;=80,"A",IF(I82&gt;=70,"B+",IF(I82&gt;=60,"B",IF(I82&gt;=50,"C+",IF(I82&gt;=40,"C","F")))))))</f>
        <v/>
      </c>
      <c r="K82">
        <f>IF(COUNTIFS(Marks!$D$4:$D$503,B82,Marks!$A$4:$A$503,E82,Marks!$O$4:$O$503,"FAIL")&gt;0,"FAIL","PASS")</f>
        <v/>
      </c>
    </row>
    <row r="83">
      <c r="F83">
        <f>IF(B83="","",COUNTIFS(Marks!$D$4:$D$503,B83,Marks!$A$4:$A$503,E83))</f>
        <v/>
      </c>
      <c r="G83">
        <f>IF(B83="","",SUMIFS(Marks!$L$4:$L$503,Marks!$D$4:$D$503,B83,Marks!$A$4:$A$503,E83))</f>
        <v/>
      </c>
      <c r="H83">
        <f>IF(B83="","",SUMIFS(Marks!$H$4:$H$503,Marks!$D$4:$D$503,B83,Marks!$A$4:$A$503,E83))</f>
        <v/>
      </c>
      <c r="I83" s="9">
        <f>IFERROR(G83/H83*100,"")</f>
        <v/>
      </c>
      <c r="J83">
        <f>IF(I83="","",IF(I83&gt;=90,"A+",IF(I83&gt;=80,"A",IF(I83&gt;=70,"B+",IF(I83&gt;=60,"B",IF(I83&gt;=50,"C+",IF(I83&gt;=40,"C","F")))))))</f>
        <v/>
      </c>
      <c r="K83">
        <f>IF(COUNTIFS(Marks!$D$4:$D$503,B83,Marks!$A$4:$A$503,E83,Marks!$O$4:$O$503,"FAIL")&gt;0,"FAIL","PASS")</f>
        <v/>
      </c>
    </row>
    <row r="84">
      <c r="F84">
        <f>IF(B84="","",COUNTIFS(Marks!$D$4:$D$503,B84,Marks!$A$4:$A$503,E84))</f>
        <v/>
      </c>
      <c r="G84">
        <f>IF(B84="","",SUMIFS(Marks!$L$4:$L$503,Marks!$D$4:$D$503,B84,Marks!$A$4:$A$503,E84))</f>
        <v/>
      </c>
      <c r="H84">
        <f>IF(B84="","",SUMIFS(Marks!$H$4:$H$503,Marks!$D$4:$D$503,B84,Marks!$A$4:$A$503,E84))</f>
        <v/>
      </c>
      <c r="I84" s="9">
        <f>IFERROR(G84/H84*100,"")</f>
        <v/>
      </c>
      <c r="J84">
        <f>IF(I84="","",IF(I84&gt;=90,"A+",IF(I84&gt;=80,"A",IF(I84&gt;=70,"B+",IF(I84&gt;=60,"B",IF(I84&gt;=50,"C+",IF(I84&gt;=40,"C","F")))))))</f>
        <v/>
      </c>
      <c r="K84">
        <f>IF(COUNTIFS(Marks!$D$4:$D$503,B84,Marks!$A$4:$A$503,E84,Marks!$O$4:$O$503,"FAIL")&gt;0,"FAIL","PASS")</f>
        <v/>
      </c>
    </row>
    <row r="85">
      <c r="F85">
        <f>IF(B85="","",COUNTIFS(Marks!$D$4:$D$503,B85,Marks!$A$4:$A$503,E85))</f>
        <v/>
      </c>
      <c r="G85">
        <f>IF(B85="","",SUMIFS(Marks!$L$4:$L$503,Marks!$D$4:$D$503,B85,Marks!$A$4:$A$503,E85))</f>
        <v/>
      </c>
      <c r="H85">
        <f>IF(B85="","",SUMIFS(Marks!$H$4:$H$503,Marks!$D$4:$D$503,B85,Marks!$A$4:$A$503,E85))</f>
        <v/>
      </c>
      <c r="I85" s="9">
        <f>IFERROR(G85/H85*100,"")</f>
        <v/>
      </c>
      <c r="J85">
        <f>IF(I85="","",IF(I85&gt;=90,"A+",IF(I85&gt;=80,"A",IF(I85&gt;=70,"B+",IF(I85&gt;=60,"B",IF(I85&gt;=50,"C+",IF(I85&gt;=40,"C","F")))))))</f>
        <v/>
      </c>
      <c r="K85">
        <f>IF(COUNTIFS(Marks!$D$4:$D$503,B85,Marks!$A$4:$A$503,E85,Marks!$O$4:$O$503,"FAIL")&gt;0,"FAIL","PASS")</f>
        <v/>
      </c>
    </row>
    <row r="86">
      <c r="F86">
        <f>IF(B86="","",COUNTIFS(Marks!$D$4:$D$503,B86,Marks!$A$4:$A$503,E86))</f>
        <v/>
      </c>
      <c r="G86">
        <f>IF(B86="","",SUMIFS(Marks!$L$4:$L$503,Marks!$D$4:$D$503,B86,Marks!$A$4:$A$503,E86))</f>
        <v/>
      </c>
      <c r="H86">
        <f>IF(B86="","",SUMIFS(Marks!$H$4:$H$503,Marks!$D$4:$D$503,B86,Marks!$A$4:$A$503,E86))</f>
        <v/>
      </c>
      <c r="I86" s="9">
        <f>IFERROR(G86/H86*100,"")</f>
        <v/>
      </c>
      <c r="J86">
        <f>IF(I86="","",IF(I86&gt;=90,"A+",IF(I86&gt;=80,"A",IF(I86&gt;=70,"B+",IF(I86&gt;=60,"B",IF(I86&gt;=50,"C+",IF(I86&gt;=40,"C","F")))))))</f>
        <v/>
      </c>
      <c r="K86">
        <f>IF(COUNTIFS(Marks!$D$4:$D$503,B86,Marks!$A$4:$A$503,E86,Marks!$O$4:$O$503,"FAIL")&gt;0,"FAIL","PASS")</f>
        <v/>
      </c>
    </row>
    <row r="87">
      <c r="F87">
        <f>IF(B87="","",COUNTIFS(Marks!$D$4:$D$503,B87,Marks!$A$4:$A$503,E87))</f>
        <v/>
      </c>
      <c r="G87">
        <f>IF(B87="","",SUMIFS(Marks!$L$4:$L$503,Marks!$D$4:$D$503,B87,Marks!$A$4:$A$503,E87))</f>
        <v/>
      </c>
      <c r="H87">
        <f>IF(B87="","",SUMIFS(Marks!$H$4:$H$503,Marks!$D$4:$D$503,B87,Marks!$A$4:$A$503,E87))</f>
        <v/>
      </c>
      <c r="I87" s="9">
        <f>IFERROR(G87/H87*100,"")</f>
        <v/>
      </c>
      <c r="J87">
        <f>IF(I87="","",IF(I87&gt;=90,"A+",IF(I87&gt;=80,"A",IF(I87&gt;=70,"B+",IF(I87&gt;=60,"B",IF(I87&gt;=50,"C+",IF(I87&gt;=40,"C","F")))))))</f>
        <v/>
      </c>
      <c r="K87">
        <f>IF(COUNTIFS(Marks!$D$4:$D$503,B87,Marks!$A$4:$A$503,E87,Marks!$O$4:$O$503,"FAIL")&gt;0,"FAIL","PASS")</f>
        <v/>
      </c>
    </row>
    <row r="88">
      <c r="F88">
        <f>IF(B88="","",COUNTIFS(Marks!$D$4:$D$503,B88,Marks!$A$4:$A$503,E88))</f>
        <v/>
      </c>
      <c r="G88">
        <f>IF(B88="","",SUMIFS(Marks!$L$4:$L$503,Marks!$D$4:$D$503,B88,Marks!$A$4:$A$503,E88))</f>
        <v/>
      </c>
      <c r="H88">
        <f>IF(B88="","",SUMIFS(Marks!$H$4:$H$503,Marks!$D$4:$D$503,B88,Marks!$A$4:$A$503,E88))</f>
        <v/>
      </c>
      <c r="I88" s="9">
        <f>IFERROR(G88/H88*100,"")</f>
        <v/>
      </c>
      <c r="J88">
        <f>IF(I88="","",IF(I88&gt;=90,"A+",IF(I88&gt;=80,"A",IF(I88&gt;=70,"B+",IF(I88&gt;=60,"B",IF(I88&gt;=50,"C+",IF(I88&gt;=40,"C","F")))))))</f>
        <v/>
      </c>
      <c r="K88">
        <f>IF(COUNTIFS(Marks!$D$4:$D$503,B88,Marks!$A$4:$A$503,E88,Marks!$O$4:$O$503,"FAIL")&gt;0,"FAIL","PASS")</f>
        <v/>
      </c>
    </row>
    <row r="89">
      <c r="F89">
        <f>IF(B89="","",COUNTIFS(Marks!$D$4:$D$503,B89,Marks!$A$4:$A$503,E89))</f>
        <v/>
      </c>
      <c r="G89">
        <f>IF(B89="","",SUMIFS(Marks!$L$4:$L$503,Marks!$D$4:$D$503,B89,Marks!$A$4:$A$503,E89))</f>
        <v/>
      </c>
      <c r="H89">
        <f>IF(B89="","",SUMIFS(Marks!$H$4:$H$503,Marks!$D$4:$D$503,B89,Marks!$A$4:$A$503,E89))</f>
        <v/>
      </c>
      <c r="I89" s="9">
        <f>IFERROR(G89/H89*100,"")</f>
        <v/>
      </c>
      <c r="J89">
        <f>IF(I89="","",IF(I89&gt;=90,"A+",IF(I89&gt;=80,"A",IF(I89&gt;=70,"B+",IF(I89&gt;=60,"B",IF(I89&gt;=50,"C+",IF(I89&gt;=40,"C","F")))))))</f>
        <v/>
      </c>
      <c r="K89">
        <f>IF(COUNTIFS(Marks!$D$4:$D$503,B89,Marks!$A$4:$A$503,E89,Marks!$O$4:$O$503,"FAIL")&gt;0,"FAIL","PASS")</f>
        <v/>
      </c>
    </row>
    <row r="90">
      <c r="F90">
        <f>IF(B90="","",COUNTIFS(Marks!$D$4:$D$503,B90,Marks!$A$4:$A$503,E90))</f>
        <v/>
      </c>
      <c r="G90">
        <f>IF(B90="","",SUMIFS(Marks!$L$4:$L$503,Marks!$D$4:$D$503,B90,Marks!$A$4:$A$503,E90))</f>
        <v/>
      </c>
      <c r="H90">
        <f>IF(B90="","",SUMIFS(Marks!$H$4:$H$503,Marks!$D$4:$D$503,B90,Marks!$A$4:$A$503,E90))</f>
        <v/>
      </c>
      <c r="I90" s="9">
        <f>IFERROR(G90/H90*100,"")</f>
        <v/>
      </c>
      <c r="J90">
        <f>IF(I90="","",IF(I90&gt;=90,"A+",IF(I90&gt;=80,"A",IF(I90&gt;=70,"B+",IF(I90&gt;=60,"B",IF(I90&gt;=50,"C+",IF(I90&gt;=40,"C","F")))))))</f>
        <v/>
      </c>
      <c r="K90">
        <f>IF(COUNTIFS(Marks!$D$4:$D$503,B90,Marks!$A$4:$A$503,E90,Marks!$O$4:$O$503,"FAIL")&gt;0,"FAIL","PASS")</f>
        <v/>
      </c>
    </row>
    <row r="91">
      <c r="F91">
        <f>IF(B91="","",COUNTIFS(Marks!$D$4:$D$503,B91,Marks!$A$4:$A$503,E91))</f>
        <v/>
      </c>
      <c r="G91">
        <f>IF(B91="","",SUMIFS(Marks!$L$4:$L$503,Marks!$D$4:$D$503,B91,Marks!$A$4:$A$503,E91))</f>
        <v/>
      </c>
      <c r="H91">
        <f>IF(B91="","",SUMIFS(Marks!$H$4:$H$503,Marks!$D$4:$D$503,B91,Marks!$A$4:$A$503,E91))</f>
        <v/>
      </c>
      <c r="I91" s="9">
        <f>IFERROR(G91/H91*100,"")</f>
        <v/>
      </c>
      <c r="J91">
        <f>IF(I91="","",IF(I91&gt;=90,"A+",IF(I91&gt;=80,"A",IF(I91&gt;=70,"B+",IF(I91&gt;=60,"B",IF(I91&gt;=50,"C+",IF(I91&gt;=40,"C","F")))))))</f>
        <v/>
      </c>
      <c r="K91">
        <f>IF(COUNTIFS(Marks!$D$4:$D$503,B91,Marks!$A$4:$A$503,E91,Marks!$O$4:$O$503,"FAIL")&gt;0,"FAIL","PASS")</f>
        <v/>
      </c>
    </row>
    <row r="92">
      <c r="F92">
        <f>IF(B92="","",COUNTIFS(Marks!$D$4:$D$503,B92,Marks!$A$4:$A$503,E92))</f>
        <v/>
      </c>
      <c r="G92">
        <f>IF(B92="","",SUMIFS(Marks!$L$4:$L$503,Marks!$D$4:$D$503,B92,Marks!$A$4:$A$503,E92))</f>
        <v/>
      </c>
      <c r="H92">
        <f>IF(B92="","",SUMIFS(Marks!$H$4:$H$503,Marks!$D$4:$D$503,B92,Marks!$A$4:$A$503,E92))</f>
        <v/>
      </c>
      <c r="I92" s="9">
        <f>IFERROR(G92/H92*100,"")</f>
        <v/>
      </c>
      <c r="J92">
        <f>IF(I92="","",IF(I92&gt;=90,"A+",IF(I92&gt;=80,"A",IF(I92&gt;=70,"B+",IF(I92&gt;=60,"B",IF(I92&gt;=50,"C+",IF(I92&gt;=40,"C","F")))))))</f>
        <v/>
      </c>
      <c r="K92">
        <f>IF(COUNTIFS(Marks!$D$4:$D$503,B92,Marks!$A$4:$A$503,E92,Marks!$O$4:$O$503,"FAIL")&gt;0,"FAIL","PASS")</f>
        <v/>
      </c>
    </row>
    <row r="93">
      <c r="F93">
        <f>IF(B93="","",COUNTIFS(Marks!$D$4:$D$503,B93,Marks!$A$4:$A$503,E93))</f>
        <v/>
      </c>
      <c r="G93">
        <f>IF(B93="","",SUMIFS(Marks!$L$4:$L$503,Marks!$D$4:$D$503,B93,Marks!$A$4:$A$503,E93))</f>
        <v/>
      </c>
      <c r="H93">
        <f>IF(B93="","",SUMIFS(Marks!$H$4:$H$503,Marks!$D$4:$D$503,B93,Marks!$A$4:$A$503,E93))</f>
        <v/>
      </c>
      <c r="I93" s="9">
        <f>IFERROR(G93/H93*100,"")</f>
        <v/>
      </c>
      <c r="J93">
        <f>IF(I93="","",IF(I93&gt;=90,"A+",IF(I93&gt;=80,"A",IF(I93&gt;=70,"B+",IF(I93&gt;=60,"B",IF(I93&gt;=50,"C+",IF(I93&gt;=40,"C","F")))))))</f>
        <v/>
      </c>
      <c r="K93">
        <f>IF(COUNTIFS(Marks!$D$4:$D$503,B93,Marks!$A$4:$A$503,E93,Marks!$O$4:$O$503,"FAIL")&gt;0,"FAIL","PASS")</f>
        <v/>
      </c>
    </row>
    <row r="94">
      <c r="F94">
        <f>IF(B94="","",COUNTIFS(Marks!$D$4:$D$503,B94,Marks!$A$4:$A$503,E94))</f>
        <v/>
      </c>
      <c r="G94">
        <f>IF(B94="","",SUMIFS(Marks!$L$4:$L$503,Marks!$D$4:$D$503,B94,Marks!$A$4:$A$503,E94))</f>
        <v/>
      </c>
      <c r="H94">
        <f>IF(B94="","",SUMIFS(Marks!$H$4:$H$503,Marks!$D$4:$D$503,B94,Marks!$A$4:$A$503,E94))</f>
        <v/>
      </c>
      <c r="I94" s="9">
        <f>IFERROR(G94/H94*100,"")</f>
        <v/>
      </c>
      <c r="J94">
        <f>IF(I94="","",IF(I94&gt;=90,"A+",IF(I94&gt;=80,"A",IF(I94&gt;=70,"B+",IF(I94&gt;=60,"B",IF(I94&gt;=50,"C+",IF(I94&gt;=40,"C","F")))))))</f>
        <v/>
      </c>
      <c r="K94">
        <f>IF(COUNTIFS(Marks!$D$4:$D$503,B94,Marks!$A$4:$A$503,E94,Marks!$O$4:$O$503,"FAIL")&gt;0,"FAIL","PASS")</f>
        <v/>
      </c>
    </row>
    <row r="95">
      <c r="F95">
        <f>IF(B95="","",COUNTIFS(Marks!$D$4:$D$503,B95,Marks!$A$4:$A$503,E95))</f>
        <v/>
      </c>
      <c r="G95">
        <f>IF(B95="","",SUMIFS(Marks!$L$4:$L$503,Marks!$D$4:$D$503,B95,Marks!$A$4:$A$503,E95))</f>
        <v/>
      </c>
      <c r="H95">
        <f>IF(B95="","",SUMIFS(Marks!$H$4:$H$503,Marks!$D$4:$D$503,B95,Marks!$A$4:$A$503,E95))</f>
        <v/>
      </c>
      <c r="I95" s="9">
        <f>IFERROR(G95/H95*100,"")</f>
        <v/>
      </c>
      <c r="J95">
        <f>IF(I95="","",IF(I95&gt;=90,"A+",IF(I95&gt;=80,"A",IF(I95&gt;=70,"B+",IF(I95&gt;=60,"B",IF(I95&gt;=50,"C+",IF(I95&gt;=40,"C","F")))))))</f>
        <v/>
      </c>
      <c r="K95">
        <f>IF(COUNTIFS(Marks!$D$4:$D$503,B95,Marks!$A$4:$A$503,E95,Marks!$O$4:$O$503,"FAIL")&gt;0,"FAIL","PASS")</f>
        <v/>
      </c>
    </row>
    <row r="96">
      <c r="F96">
        <f>IF(B96="","",COUNTIFS(Marks!$D$4:$D$503,B96,Marks!$A$4:$A$503,E96))</f>
        <v/>
      </c>
      <c r="G96">
        <f>IF(B96="","",SUMIFS(Marks!$L$4:$L$503,Marks!$D$4:$D$503,B96,Marks!$A$4:$A$503,E96))</f>
        <v/>
      </c>
      <c r="H96">
        <f>IF(B96="","",SUMIFS(Marks!$H$4:$H$503,Marks!$D$4:$D$503,B96,Marks!$A$4:$A$503,E96))</f>
        <v/>
      </c>
      <c r="I96" s="9">
        <f>IFERROR(G96/H96*100,"")</f>
        <v/>
      </c>
      <c r="J96">
        <f>IF(I96="","",IF(I96&gt;=90,"A+",IF(I96&gt;=80,"A",IF(I96&gt;=70,"B+",IF(I96&gt;=60,"B",IF(I96&gt;=50,"C+",IF(I96&gt;=40,"C","F")))))))</f>
        <v/>
      </c>
      <c r="K96">
        <f>IF(COUNTIFS(Marks!$D$4:$D$503,B96,Marks!$A$4:$A$503,E96,Marks!$O$4:$O$503,"FAIL")&gt;0,"FAIL","PASS")</f>
        <v/>
      </c>
    </row>
    <row r="97">
      <c r="F97">
        <f>IF(B97="","",COUNTIFS(Marks!$D$4:$D$503,B97,Marks!$A$4:$A$503,E97))</f>
        <v/>
      </c>
      <c r="G97">
        <f>IF(B97="","",SUMIFS(Marks!$L$4:$L$503,Marks!$D$4:$D$503,B97,Marks!$A$4:$A$503,E97))</f>
        <v/>
      </c>
      <c r="H97">
        <f>IF(B97="","",SUMIFS(Marks!$H$4:$H$503,Marks!$D$4:$D$503,B97,Marks!$A$4:$A$503,E97))</f>
        <v/>
      </c>
      <c r="I97" s="9">
        <f>IFERROR(G97/H97*100,"")</f>
        <v/>
      </c>
      <c r="J97">
        <f>IF(I97="","",IF(I97&gt;=90,"A+",IF(I97&gt;=80,"A",IF(I97&gt;=70,"B+",IF(I97&gt;=60,"B",IF(I97&gt;=50,"C+",IF(I97&gt;=40,"C","F")))))))</f>
        <v/>
      </c>
      <c r="K97">
        <f>IF(COUNTIFS(Marks!$D$4:$D$503,B97,Marks!$A$4:$A$503,E97,Marks!$O$4:$O$503,"FAIL")&gt;0,"FAIL","PASS")</f>
        <v/>
      </c>
    </row>
    <row r="98">
      <c r="F98">
        <f>IF(B98="","",COUNTIFS(Marks!$D$4:$D$503,B98,Marks!$A$4:$A$503,E98))</f>
        <v/>
      </c>
      <c r="G98">
        <f>IF(B98="","",SUMIFS(Marks!$L$4:$L$503,Marks!$D$4:$D$503,B98,Marks!$A$4:$A$503,E98))</f>
        <v/>
      </c>
      <c r="H98">
        <f>IF(B98="","",SUMIFS(Marks!$H$4:$H$503,Marks!$D$4:$D$503,B98,Marks!$A$4:$A$503,E98))</f>
        <v/>
      </c>
      <c r="I98" s="9">
        <f>IFERROR(G98/H98*100,"")</f>
        <v/>
      </c>
      <c r="J98">
        <f>IF(I98="","",IF(I98&gt;=90,"A+",IF(I98&gt;=80,"A",IF(I98&gt;=70,"B+",IF(I98&gt;=60,"B",IF(I98&gt;=50,"C+",IF(I98&gt;=40,"C","F")))))))</f>
        <v/>
      </c>
      <c r="K98">
        <f>IF(COUNTIFS(Marks!$D$4:$D$503,B98,Marks!$A$4:$A$503,E98,Marks!$O$4:$O$503,"FAIL")&gt;0,"FAIL","PASS")</f>
        <v/>
      </c>
    </row>
    <row r="99">
      <c r="F99">
        <f>IF(B99="","",COUNTIFS(Marks!$D$4:$D$503,B99,Marks!$A$4:$A$503,E99))</f>
        <v/>
      </c>
      <c r="G99">
        <f>IF(B99="","",SUMIFS(Marks!$L$4:$L$503,Marks!$D$4:$D$503,B99,Marks!$A$4:$A$503,E99))</f>
        <v/>
      </c>
      <c r="H99">
        <f>IF(B99="","",SUMIFS(Marks!$H$4:$H$503,Marks!$D$4:$D$503,B99,Marks!$A$4:$A$503,E99))</f>
        <v/>
      </c>
      <c r="I99" s="9">
        <f>IFERROR(G99/H99*100,"")</f>
        <v/>
      </c>
      <c r="J99">
        <f>IF(I99="","",IF(I99&gt;=90,"A+",IF(I99&gt;=80,"A",IF(I99&gt;=70,"B+",IF(I99&gt;=60,"B",IF(I99&gt;=50,"C+",IF(I99&gt;=40,"C","F")))))))</f>
        <v/>
      </c>
      <c r="K99">
        <f>IF(COUNTIFS(Marks!$D$4:$D$503,B99,Marks!$A$4:$A$503,E99,Marks!$O$4:$O$503,"FAIL")&gt;0,"FAIL","PASS")</f>
        <v/>
      </c>
    </row>
    <row r="100">
      <c r="F100">
        <f>IF(B100="","",COUNTIFS(Marks!$D$4:$D$503,B100,Marks!$A$4:$A$503,E100))</f>
        <v/>
      </c>
      <c r="G100">
        <f>IF(B100="","",SUMIFS(Marks!$L$4:$L$503,Marks!$D$4:$D$503,B100,Marks!$A$4:$A$503,E100))</f>
        <v/>
      </c>
      <c r="H100">
        <f>IF(B100="","",SUMIFS(Marks!$H$4:$H$503,Marks!$D$4:$D$503,B100,Marks!$A$4:$A$503,E100))</f>
        <v/>
      </c>
      <c r="I100" s="9">
        <f>IFERROR(G100/H100*100,"")</f>
        <v/>
      </c>
      <c r="J100">
        <f>IF(I100="","",IF(I100&gt;=90,"A+",IF(I100&gt;=80,"A",IF(I100&gt;=70,"B+",IF(I100&gt;=60,"B",IF(I100&gt;=50,"C+",IF(I100&gt;=40,"C","F")))))))</f>
        <v/>
      </c>
      <c r="K100">
        <f>IF(COUNTIFS(Marks!$D$4:$D$503,B100,Marks!$A$4:$A$503,E100,Marks!$O$4:$O$503,"FAIL")&gt;0,"FAIL","PASS")</f>
        <v/>
      </c>
    </row>
    <row r="101">
      <c r="F101">
        <f>IF(B101="","",COUNTIFS(Marks!$D$4:$D$503,B101,Marks!$A$4:$A$503,E101))</f>
        <v/>
      </c>
      <c r="G101">
        <f>IF(B101="","",SUMIFS(Marks!$L$4:$L$503,Marks!$D$4:$D$503,B101,Marks!$A$4:$A$503,E101))</f>
        <v/>
      </c>
      <c r="H101">
        <f>IF(B101="","",SUMIFS(Marks!$H$4:$H$503,Marks!$D$4:$D$503,B101,Marks!$A$4:$A$503,E101))</f>
        <v/>
      </c>
      <c r="I101" s="9">
        <f>IFERROR(G101/H101*100,"")</f>
        <v/>
      </c>
      <c r="J101">
        <f>IF(I101="","",IF(I101&gt;=90,"A+",IF(I101&gt;=80,"A",IF(I101&gt;=70,"B+",IF(I101&gt;=60,"B",IF(I101&gt;=50,"C+",IF(I101&gt;=40,"C","F")))))))</f>
        <v/>
      </c>
      <c r="K101">
        <f>IF(COUNTIFS(Marks!$D$4:$D$503,B101,Marks!$A$4:$A$503,E101,Marks!$O$4:$O$503,"FAIL")&gt;0,"FAIL","PASS")</f>
        <v/>
      </c>
    </row>
    <row r="102">
      <c r="F102">
        <f>IF(B102="","",COUNTIFS(Marks!$D$4:$D$503,B102,Marks!$A$4:$A$503,E102))</f>
        <v/>
      </c>
      <c r="G102">
        <f>IF(B102="","",SUMIFS(Marks!$L$4:$L$503,Marks!$D$4:$D$503,B102,Marks!$A$4:$A$503,E102))</f>
        <v/>
      </c>
      <c r="H102">
        <f>IF(B102="","",SUMIFS(Marks!$H$4:$H$503,Marks!$D$4:$D$503,B102,Marks!$A$4:$A$503,E102))</f>
        <v/>
      </c>
      <c r="I102" s="9">
        <f>IFERROR(G102/H102*100,"")</f>
        <v/>
      </c>
      <c r="J102">
        <f>IF(I102="","",IF(I102&gt;=90,"A+",IF(I102&gt;=80,"A",IF(I102&gt;=70,"B+",IF(I102&gt;=60,"B",IF(I102&gt;=50,"C+",IF(I102&gt;=40,"C","F")))))))</f>
        <v/>
      </c>
      <c r="K102">
        <f>IF(COUNTIFS(Marks!$D$4:$D$503,B102,Marks!$A$4:$A$503,E102,Marks!$O$4:$O$503,"FAIL")&gt;0,"FAIL","PASS")</f>
        <v/>
      </c>
    </row>
    <row r="103">
      <c r="F103">
        <f>IF(B103="","",COUNTIFS(Marks!$D$4:$D$503,B103,Marks!$A$4:$A$503,E103))</f>
        <v/>
      </c>
      <c r="G103">
        <f>IF(B103="","",SUMIFS(Marks!$L$4:$L$503,Marks!$D$4:$D$503,B103,Marks!$A$4:$A$503,E103))</f>
        <v/>
      </c>
      <c r="H103">
        <f>IF(B103="","",SUMIFS(Marks!$H$4:$H$503,Marks!$D$4:$D$503,B103,Marks!$A$4:$A$503,E103))</f>
        <v/>
      </c>
      <c r="I103" s="9">
        <f>IFERROR(G103/H103*100,"")</f>
        <v/>
      </c>
      <c r="J103">
        <f>IF(I103="","",IF(I103&gt;=90,"A+",IF(I103&gt;=80,"A",IF(I103&gt;=70,"B+",IF(I103&gt;=60,"B",IF(I103&gt;=50,"C+",IF(I103&gt;=40,"C","F")))))))</f>
        <v/>
      </c>
      <c r="K103">
        <f>IF(COUNTIFS(Marks!$D$4:$D$503,B103,Marks!$A$4:$A$503,E103,Marks!$O$4:$O$503,"FAIL")&gt;0,"FAIL","PASS")</f>
        <v/>
      </c>
    </row>
    <row r="104">
      <c r="F104">
        <f>IF(B104="","",COUNTIFS(Marks!$D$4:$D$503,B104,Marks!$A$4:$A$503,E104))</f>
        <v/>
      </c>
      <c r="G104">
        <f>IF(B104="","",SUMIFS(Marks!$L$4:$L$503,Marks!$D$4:$D$503,B104,Marks!$A$4:$A$503,E104))</f>
        <v/>
      </c>
      <c r="H104">
        <f>IF(B104="","",SUMIFS(Marks!$H$4:$H$503,Marks!$D$4:$D$503,B104,Marks!$A$4:$A$503,E104))</f>
        <v/>
      </c>
      <c r="I104" s="9">
        <f>IFERROR(G104/H104*100,"")</f>
        <v/>
      </c>
      <c r="J104">
        <f>IF(I104="","",IF(I104&gt;=90,"A+",IF(I104&gt;=80,"A",IF(I104&gt;=70,"B+",IF(I104&gt;=60,"B",IF(I104&gt;=50,"C+",IF(I104&gt;=40,"C","F")))))))</f>
        <v/>
      </c>
      <c r="K104">
        <f>IF(COUNTIFS(Marks!$D$4:$D$503,B104,Marks!$A$4:$A$503,E104,Marks!$O$4:$O$503,"FAIL")&gt;0,"FAIL","PASS")</f>
        <v/>
      </c>
    </row>
    <row r="105">
      <c r="F105">
        <f>IF(B105="","",COUNTIFS(Marks!$D$4:$D$503,B105,Marks!$A$4:$A$503,E105))</f>
        <v/>
      </c>
      <c r="G105">
        <f>IF(B105="","",SUMIFS(Marks!$L$4:$L$503,Marks!$D$4:$D$503,B105,Marks!$A$4:$A$503,E105))</f>
        <v/>
      </c>
      <c r="H105">
        <f>IF(B105="","",SUMIFS(Marks!$H$4:$H$503,Marks!$D$4:$D$503,B105,Marks!$A$4:$A$503,E105))</f>
        <v/>
      </c>
      <c r="I105" s="9">
        <f>IFERROR(G105/H105*100,"")</f>
        <v/>
      </c>
      <c r="J105">
        <f>IF(I105="","",IF(I105&gt;=90,"A+",IF(I105&gt;=80,"A",IF(I105&gt;=70,"B+",IF(I105&gt;=60,"B",IF(I105&gt;=50,"C+",IF(I105&gt;=40,"C","F")))))))</f>
        <v/>
      </c>
      <c r="K105">
        <f>IF(COUNTIFS(Marks!$D$4:$D$503,B105,Marks!$A$4:$A$503,E105,Marks!$O$4:$O$503,"FAIL")&gt;0,"FAIL","PASS")</f>
        <v/>
      </c>
    </row>
    <row r="106">
      <c r="F106">
        <f>IF(B106="","",COUNTIFS(Marks!$D$4:$D$503,B106,Marks!$A$4:$A$503,E106))</f>
        <v/>
      </c>
      <c r="G106">
        <f>IF(B106="","",SUMIFS(Marks!$L$4:$L$503,Marks!$D$4:$D$503,B106,Marks!$A$4:$A$503,E106))</f>
        <v/>
      </c>
      <c r="H106">
        <f>IF(B106="","",SUMIFS(Marks!$H$4:$H$503,Marks!$D$4:$D$503,B106,Marks!$A$4:$A$503,E106))</f>
        <v/>
      </c>
      <c r="I106" s="9">
        <f>IFERROR(G106/H106*100,"")</f>
        <v/>
      </c>
      <c r="J106">
        <f>IF(I106="","",IF(I106&gt;=90,"A+",IF(I106&gt;=80,"A",IF(I106&gt;=70,"B+",IF(I106&gt;=60,"B",IF(I106&gt;=50,"C+",IF(I106&gt;=40,"C","F")))))))</f>
        <v/>
      </c>
      <c r="K106">
        <f>IF(COUNTIFS(Marks!$D$4:$D$503,B106,Marks!$A$4:$A$503,E106,Marks!$O$4:$O$503,"FAIL")&gt;0,"FAIL","PASS")</f>
        <v/>
      </c>
    </row>
    <row r="107">
      <c r="F107">
        <f>IF(B107="","",COUNTIFS(Marks!$D$4:$D$503,B107,Marks!$A$4:$A$503,E107))</f>
        <v/>
      </c>
      <c r="G107">
        <f>IF(B107="","",SUMIFS(Marks!$L$4:$L$503,Marks!$D$4:$D$503,B107,Marks!$A$4:$A$503,E107))</f>
        <v/>
      </c>
      <c r="H107">
        <f>IF(B107="","",SUMIFS(Marks!$H$4:$H$503,Marks!$D$4:$D$503,B107,Marks!$A$4:$A$503,E107))</f>
        <v/>
      </c>
      <c r="I107" s="9">
        <f>IFERROR(G107/H107*100,"")</f>
        <v/>
      </c>
      <c r="J107">
        <f>IF(I107="","",IF(I107&gt;=90,"A+",IF(I107&gt;=80,"A",IF(I107&gt;=70,"B+",IF(I107&gt;=60,"B",IF(I107&gt;=50,"C+",IF(I107&gt;=40,"C","F")))))))</f>
        <v/>
      </c>
      <c r="K107">
        <f>IF(COUNTIFS(Marks!$D$4:$D$503,B107,Marks!$A$4:$A$503,E107,Marks!$O$4:$O$503,"FAIL")&gt;0,"FAIL","PASS")</f>
        <v/>
      </c>
    </row>
    <row r="108">
      <c r="F108">
        <f>IF(B108="","",COUNTIFS(Marks!$D$4:$D$503,B108,Marks!$A$4:$A$503,E108))</f>
        <v/>
      </c>
      <c r="G108">
        <f>IF(B108="","",SUMIFS(Marks!$L$4:$L$503,Marks!$D$4:$D$503,B108,Marks!$A$4:$A$503,E108))</f>
        <v/>
      </c>
      <c r="H108">
        <f>IF(B108="","",SUMIFS(Marks!$H$4:$H$503,Marks!$D$4:$D$503,B108,Marks!$A$4:$A$503,E108))</f>
        <v/>
      </c>
      <c r="I108" s="9">
        <f>IFERROR(G108/H108*100,"")</f>
        <v/>
      </c>
      <c r="J108">
        <f>IF(I108="","",IF(I108&gt;=90,"A+",IF(I108&gt;=80,"A",IF(I108&gt;=70,"B+",IF(I108&gt;=60,"B",IF(I108&gt;=50,"C+",IF(I108&gt;=40,"C","F")))))))</f>
        <v/>
      </c>
      <c r="K108">
        <f>IF(COUNTIFS(Marks!$D$4:$D$503,B108,Marks!$A$4:$A$503,E108,Marks!$O$4:$O$503,"FAIL")&gt;0,"FAIL","PASS")</f>
        <v/>
      </c>
    </row>
    <row r="109">
      <c r="F109">
        <f>IF(B109="","",COUNTIFS(Marks!$D$4:$D$503,B109,Marks!$A$4:$A$503,E109))</f>
        <v/>
      </c>
      <c r="G109">
        <f>IF(B109="","",SUMIFS(Marks!$L$4:$L$503,Marks!$D$4:$D$503,B109,Marks!$A$4:$A$503,E109))</f>
        <v/>
      </c>
      <c r="H109">
        <f>IF(B109="","",SUMIFS(Marks!$H$4:$H$503,Marks!$D$4:$D$503,B109,Marks!$A$4:$A$503,E109))</f>
        <v/>
      </c>
      <c r="I109" s="9">
        <f>IFERROR(G109/H109*100,"")</f>
        <v/>
      </c>
      <c r="J109">
        <f>IF(I109="","",IF(I109&gt;=90,"A+",IF(I109&gt;=80,"A",IF(I109&gt;=70,"B+",IF(I109&gt;=60,"B",IF(I109&gt;=50,"C+",IF(I109&gt;=40,"C","F")))))))</f>
        <v/>
      </c>
      <c r="K109">
        <f>IF(COUNTIFS(Marks!$D$4:$D$503,B109,Marks!$A$4:$A$503,E109,Marks!$O$4:$O$503,"FAIL")&gt;0,"FAIL","PASS")</f>
        <v/>
      </c>
    </row>
    <row r="110">
      <c r="F110">
        <f>IF(B110="","",COUNTIFS(Marks!$D$4:$D$503,B110,Marks!$A$4:$A$503,E110))</f>
        <v/>
      </c>
      <c r="G110">
        <f>IF(B110="","",SUMIFS(Marks!$L$4:$L$503,Marks!$D$4:$D$503,B110,Marks!$A$4:$A$503,E110))</f>
        <v/>
      </c>
      <c r="H110">
        <f>IF(B110="","",SUMIFS(Marks!$H$4:$H$503,Marks!$D$4:$D$503,B110,Marks!$A$4:$A$503,E110))</f>
        <v/>
      </c>
      <c r="I110" s="9">
        <f>IFERROR(G110/H110*100,"")</f>
        <v/>
      </c>
      <c r="J110">
        <f>IF(I110="","",IF(I110&gt;=90,"A+",IF(I110&gt;=80,"A",IF(I110&gt;=70,"B+",IF(I110&gt;=60,"B",IF(I110&gt;=50,"C+",IF(I110&gt;=40,"C","F")))))))</f>
        <v/>
      </c>
      <c r="K110">
        <f>IF(COUNTIFS(Marks!$D$4:$D$503,B110,Marks!$A$4:$A$503,E110,Marks!$O$4:$O$503,"FAIL")&gt;0,"FAIL","PASS")</f>
        <v/>
      </c>
    </row>
    <row r="111">
      <c r="F111">
        <f>IF(B111="","",COUNTIFS(Marks!$D$4:$D$503,B111,Marks!$A$4:$A$503,E111))</f>
        <v/>
      </c>
      <c r="G111">
        <f>IF(B111="","",SUMIFS(Marks!$L$4:$L$503,Marks!$D$4:$D$503,B111,Marks!$A$4:$A$503,E111))</f>
        <v/>
      </c>
      <c r="H111">
        <f>IF(B111="","",SUMIFS(Marks!$H$4:$H$503,Marks!$D$4:$D$503,B111,Marks!$A$4:$A$503,E111))</f>
        <v/>
      </c>
      <c r="I111" s="9">
        <f>IFERROR(G111/H111*100,"")</f>
        <v/>
      </c>
      <c r="J111">
        <f>IF(I111="","",IF(I111&gt;=90,"A+",IF(I111&gt;=80,"A",IF(I111&gt;=70,"B+",IF(I111&gt;=60,"B",IF(I111&gt;=50,"C+",IF(I111&gt;=40,"C","F")))))))</f>
        <v/>
      </c>
      <c r="K111">
        <f>IF(COUNTIFS(Marks!$D$4:$D$503,B111,Marks!$A$4:$A$503,E111,Marks!$O$4:$O$503,"FAIL")&gt;0,"FAIL","PASS")</f>
        <v/>
      </c>
    </row>
    <row r="112">
      <c r="F112">
        <f>IF(B112="","",COUNTIFS(Marks!$D$4:$D$503,B112,Marks!$A$4:$A$503,E112))</f>
        <v/>
      </c>
      <c r="G112">
        <f>IF(B112="","",SUMIFS(Marks!$L$4:$L$503,Marks!$D$4:$D$503,B112,Marks!$A$4:$A$503,E112))</f>
        <v/>
      </c>
      <c r="H112">
        <f>IF(B112="","",SUMIFS(Marks!$H$4:$H$503,Marks!$D$4:$D$503,B112,Marks!$A$4:$A$503,E112))</f>
        <v/>
      </c>
      <c r="I112" s="9">
        <f>IFERROR(G112/H112*100,"")</f>
        <v/>
      </c>
      <c r="J112">
        <f>IF(I112="","",IF(I112&gt;=90,"A+",IF(I112&gt;=80,"A",IF(I112&gt;=70,"B+",IF(I112&gt;=60,"B",IF(I112&gt;=50,"C+",IF(I112&gt;=40,"C","F")))))))</f>
        <v/>
      </c>
      <c r="K112">
        <f>IF(COUNTIFS(Marks!$D$4:$D$503,B112,Marks!$A$4:$A$503,E112,Marks!$O$4:$O$503,"FAIL")&gt;0,"FAIL","PASS")</f>
        <v/>
      </c>
    </row>
    <row r="113">
      <c r="F113">
        <f>IF(B113="","",COUNTIFS(Marks!$D$4:$D$503,B113,Marks!$A$4:$A$503,E113))</f>
        <v/>
      </c>
      <c r="G113">
        <f>IF(B113="","",SUMIFS(Marks!$L$4:$L$503,Marks!$D$4:$D$503,B113,Marks!$A$4:$A$503,E113))</f>
        <v/>
      </c>
      <c r="H113">
        <f>IF(B113="","",SUMIFS(Marks!$H$4:$H$503,Marks!$D$4:$D$503,B113,Marks!$A$4:$A$503,E113))</f>
        <v/>
      </c>
      <c r="I113" s="9">
        <f>IFERROR(G113/H113*100,"")</f>
        <v/>
      </c>
      <c r="J113">
        <f>IF(I113="","",IF(I113&gt;=90,"A+",IF(I113&gt;=80,"A",IF(I113&gt;=70,"B+",IF(I113&gt;=60,"B",IF(I113&gt;=50,"C+",IF(I113&gt;=40,"C","F")))))))</f>
        <v/>
      </c>
      <c r="K113">
        <f>IF(COUNTIFS(Marks!$D$4:$D$503,B113,Marks!$A$4:$A$503,E113,Marks!$O$4:$O$503,"FAIL")&gt;0,"FAIL","PASS")</f>
        <v/>
      </c>
    </row>
    <row r="114">
      <c r="F114">
        <f>IF(B114="","",COUNTIFS(Marks!$D$4:$D$503,B114,Marks!$A$4:$A$503,E114))</f>
        <v/>
      </c>
      <c r="G114">
        <f>IF(B114="","",SUMIFS(Marks!$L$4:$L$503,Marks!$D$4:$D$503,B114,Marks!$A$4:$A$503,E114))</f>
        <v/>
      </c>
      <c r="H114">
        <f>IF(B114="","",SUMIFS(Marks!$H$4:$H$503,Marks!$D$4:$D$503,B114,Marks!$A$4:$A$503,E114))</f>
        <v/>
      </c>
      <c r="I114" s="9">
        <f>IFERROR(G114/H114*100,"")</f>
        <v/>
      </c>
      <c r="J114">
        <f>IF(I114="","",IF(I114&gt;=90,"A+",IF(I114&gt;=80,"A",IF(I114&gt;=70,"B+",IF(I114&gt;=60,"B",IF(I114&gt;=50,"C+",IF(I114&gt;=40,"C","F")))))))</f>
        <v/>
      </c>
      <c r="K114">
        <f>IF(COUNTIFS(Marks!$D$4:$D$503,B114,Marks!$A$4:$A$503,E114,Marks!$O$4:$O$503,"FAIL")&gt;0,"FAIL","PASS")</f>
        <v/>
      </c>
    </row>
    <row r="115">
      <c r="F115">
        <f>IF(B115="","",COUNTIFS(Marks!$D$4:$D$503,B115,Marks!$A$4:$A$503,E115))</f>
        <v/>
      </c>
      <c r="G115">
        <f>IF(B115="","",SUMIFS(Marks!$L$4:$L$503,Marks!$D$4:$D$503,B115,Marks!$A$4:$A$503,E115))</f>
        <v/>
      </c>
      <c r="H115">
        <f>IF(B115="","",SUMIFS(Marks!$H$4:$H$503,Marks!$D$4:$D$503,B115,Marks!$A$4:$A$503,E115))</f>
        <v/>
      </c>
      <c r="I115" s="9">
        <f>IFERROR(G115/H115*100,"")</f>
        <v/>
      </c>
      <c r="J115">
        <f>IF(I115="","",IF(I115&gt;=90,"A+",IF(I115&gt;=80,"A",IF(I115&gt;=70,"B+",IF(I115&gt;=60,"B",IF(I115&gt;=50,"C+",IF(I115&gt;=40,"C","F")))))))</f>
        <v/>
      </c>
      <c r="K115">
        <f>IF(COUNTIFS(Marks!$D$4:$D$503,B115,Marks!$A$4:$A$503,E115,Marks!$O$4:$O$503,"FAIL")&gt;0,"FAIL","PASS")</f>
        <v/>
      </c>
    </row>
    <row r="116">
      <c r="F116">
        <f>IF(B116="","",COUNTIFS(Marks!$D$4:$D$503,B116,Marks!$A$4:$A$503,E116))</f>
        <v/>
      </c>
      <c r="G116">
        <f>IF(B116="","",SUMIFS(Marks!$L$4:$L$503,Marks!$D$4:$D$503,B116,Marks!$A$4:$A$503,E116))</f>
        <v/>
      </c>
      <c r="H116">
        <f>IF(B116="","",SUMIFS(Marks!$H$4:$H$503,Marks!$D$4:$D$503,B116,Marks!$A$4:$A$503,E116))</f>
        <v/>
      </c>
      <c r="I116" s="9">
        <f>IFERROR(G116/H116*100,"")</f>
        <v/>
      </c>
      <c r="J116">
        <f>IF(I116="","",IF(I116&gt;=90,"A+",IF(I116&gt;=80,"A",IF(I116&gt;=70,"B+",IF(I116&gt;=60,"B",IF(I116&gt;=50,"C+",IF(I116&gt;=40,"C","F")))))))</f>
        <v/>
      </c>
      <c r="K116">
        <f>IF(COUNTIFS(Marks!$D$4:$D$503,B116,Marks!$A$4:$A$503,E116,Marks!$O$4:$O$503,"FAIL")&gt;0,"FAIL","PASS")</f>
        <v/>
      </c>
    </row>
    <row r="117">
      <c r="F117">
        <f>IF(B117="","",COUNTIFS(Marks!$D$4:$D$503,B117,Marks!$A$4:$A$503,E117))</f>
        <v/>
      </c>
      <c r="G117">
        <f>IF(B117="","",SUMIFS(Marks!$L$4:$L$503,Marks!$D$4:$D$503,B117,Marks!$A$4:$A$503,E117))</f>
        <v/>
      </c>
      <c r="H117">
        <f>IF(B117="","",SUMIFS(Marks!$H$4:$H$503,Marks!$D$4:$D$503,B117,Marks!$A$4:$A$503,E117))</f>
        <v/>
      </c>
      <c r="I117" s="9">
        <f>IFERROR(G117/H117*100,"")</f>
        <v/>
      </c>
      <c r="J117">
        <f>IF(I117="","",IF(I117&gt;=90,"A+",IF(I117&gt;=80,"A",IF(I117&gt;=70,"B+",IF(I117&gt;=60,"B",IF(I117&gt;=50,"C+",IF(I117&gt;=40,"C","F")))))))</f>
        <v/>
      </c>
      <c r="K117">
        <f>IF(COUNTIFS(Marks!$D$4:$D$503,B117,Marks!$A$4:$A$503,E117,Marks!$O$4:$O$503,"FAIL")&gt;0,"FAIL","PASS")</f>
        <v/>
      </c>
    </row>
    <row r="118">
      <c r="F118">
        <f>IF(B118="","",COUNTIFS(Marks!$D$4:$D$503,B118,Marks!$A$4:$A$503,E118))</f>
        <v/>
      </c>
      <c r="G118">
        <f>IF(B118="","",SUMIFS(Marks!$L$4:$L$503,Marks!$D$4:$D$503,B118,Marks!$A$4:$A$503,E118))</f>
        <v/>
      </c>
      <c r="H118">
        <f>IF(B118="","",SUMIFS(Marks!$H$4:$H$503,Marks!$D$4:$D$503,B118,Marks!$A$4:$A$503,E118))</f>
        <v/>
      </c>
      <c r="I118" s="9">
        <f>IFERROR(G118/H118*100,"")</f>
        <v/>
      </c>
      <c r="J118">
        <f>IF(I118="","",IF(I118&gt;=90,"A+",IF(I118&gt;=80,"A",IF(I118&gt;=70,"B+",IF(I118&gt;=60,"B",IF(I118&gt;=50,"C+",IF(I118&gt;=40,"C","F")))))))</f>
        <v/>
      </c>
      <c r="K118">
        <f>IF(COUNTIFS(Marks!$D$4:$D$503,B118,Marks!$A$4:$A$503,E118,Marks!$O$4:$O$503,"FAIL")&gt;0,"FAIL","PASS")</f>
        <v/>
      </c>
    </row>
    <row r="119">
      <c r="F119">
        <f>IF(B119="","",COUNTIFS(Marks!$D$4:$D$503,B119,Marks!$A$4:$A$503,E119))</f>
        <v/>
      </c>
      <c r="G119">
        <f>IF(B119="","",SUMIFS(Marks!$L$4:$L$503,Marks!$D$4:$D$503,B119,Marks!$A$4:$A$503,E119))</f>
        <v/>
      </c>
      <c r="H119">
        <f>IF(B119="","",SUMIFS(Marks!$H$4:$H$503,Marks!$D$4:$D$503,B119,Marks!$A$4:$A$503,E119))</f>
        <v/>
      </c>
      <c r="I119" s="9">
        <f>IFERROR(G119/H119*100,"")</f>
        <v/>
      </c>
      <c r="J119">
        <f>IF(I119="","",IF(I119&gt;=90,"A+",IF(I119&gt;=80,"A",IF(I119&gt;=70,"B+",IF(I119&gt;=60,"B",IF(I119&gt;=50,"C+",IF(I119&gt;=40,"C","F")))))))</f>
        <v/>
      </c>
      <c r="K119">
        <f>IF(COUNTIFS(Marks!$D$4:$D$503,B119,Marks!$A$4:$A$503,E119,Marks!$O$4:$O$503,"FAIL")&gt;0,"FAIL","PASS")</f>
        <v/>
      </c>
    </row>
    <row r="120">
      <c r="F120">
        <f>IF(B120="","",COUNTIFS(Marks!$D$4:$D$503,B120,Marks!$A$4:$A$503,E120))</f>
        <v/>
      </c>
      <c r="G120">
        <f>IF(B120="","",SUMIFS(Marks!$L$4:$L$503,Marks!$D$4:$D$503,B120,Marks!$A$4:$A$503,E120))</f>
        <v/>
      </c>
      <c r="H120">
        <f>IF(B120="","",SUMIFS(Marks!$H$4:$H$503,Marks!$D$4:$D$503,B120,Marks!$A$4:$A$503,E120))</f>
        <v/>
      </c>
      <c r="I120" s="9">
        <f>IFERROR(G120/H120*100,"")</f>
        <v/>
      </c>
      <c r="J120">
        <f>IF(I120="","",IF(I120&gt;=90,"A+",IF(I120&gt;=80,"A",IF(I120&gt;=70,"B+",IF(I120&gt;=60,"B",IF(I120&gt;=50,"C+",IF(I120&gt;=40,"C","F")))))))</f>
        <v/>
      </c>
      <c r="K120">
        <f>IF(COUNTIFS(Marks!$D$4:$D$503,B120,Marks!$A$4:$A$503,E120,Marks!$O$4:$O$503,"FAIL")&gt;0,"FAIL","PASS")</f>
        <v/>
      </c>
    </row>
    <row r="121">
      <c r="F121">
        <f>IF(B121="","",COUNTIFS(Marks!$D$4:$D$503,B121,Marks!$A$4:$A$503,E121))</f>
        <v/>
      </c>
      <c r="G121">
        <f>IF(B121="","",SUMIFS(Marks!$L$4:$L$503,Marks!$D$4:$D$503,B121,Marks!$A$4:$A$503,E121))</f>
        <v/>
      </c>
      <c r="H121">
        <f>IF(B121="","",SUMIFS(Marks!$H$4:$H$503,Marks!$D$4:$D$503,B121,Marks!$A$4:$A$503,E121))</f>
        <v/>
      </c>
      <c r="I121" s="9">
        <f>IFERROR(G121/H121*100,"")</f>
        <v/>
      </c>
      <c r="J121">
        <f>IF(I121="","",IF(I121&gt;=90,"A+",IF(I121&gt;=80,"A",IF(I121&gt;=70,"B+",IF(I121&gt;=60,"B",IF(I121&gt;=50,"C+",IF(I121&gt;=40,"C","F")))))))</f>
        <v/>
      </c>
      <c r="K121">
        <f>IF(COUNTIFS(Marks!$D$4:$D$503,B121,Marks!$A$4:$A$503,E121,Marks!$O$4:$O$503,"FAIL")&gt;0,"FAIL","PASS")</f>
        <v/>
      </c>
    </row>
    <row r="122">
      <c r="F122">
        <f>IF(B122="","",COUNTIFS(Marks!$D$4:$D$503,B122,Marks!$A$4:$A$503,E122))</f>
        <v/>
      </c>
      <c r="G122">
        <f>IF(B122="","",SUMIFS(Marks!$L$4:$L$503,Marks!$D$4:$D$503,B122,Marks!$A$4:$A$503,E122))</f>
        <v/>
      </c>
      <c r="H122">
        <f>IF(B122="","",SUMIFS(Marks!$H$4:$H$503,Marks!$D$4:$D$503,B122,Marks!$A$4:$A$503,E122))</f>
        <v/>
      </c>
      <c r="I122" s="9">
        <f>IFERROR(G122/H122*100,"")</f>
        <v/>
      </c>
      <c r="J122">
        <f>IF(I122="","",IF(I122&gt;=90,"A+",IF(I122&gt;=80,"A",IF(I122&gt;=70,"B+",IF(I122&gt;=60,"B",IF(I122&gt;=50,"C+",IF(I122&gt;=40,"C","F")))))))</f>
        <v/>
      </c>
      <c r="K122">
        <f>IF(COUNTIFS(Marks!$D$4:$D$503,B122,Marks!$A$4:$A$503,E122,Marks!$O$4:$O$503,"FAIL")&gt;0,"FAIL","PASS")</f>
        <v/>
      </c>
    </row>
    <row r="123">
      <c r="F123">
        <f>IF(B123="","",COUNTIFS(Marks!$D$4:$D$503,B123,Marks!$A$4:$A$503,E123))</f>
        <v/>
      </c>
      <c r="G123">
        <f>IF(B123="","",SUMIFS(Marks!$L$4:$L$503,Marks!$D$4:$D$503,B123,Marks!$A$4:$A$503,E123))</f>
        <v/>
      </c>
      <c r="H123">
        <f>IF(B123="","",SUMIFS(Marks!$H$4:$H$503,Marks!$D$4:$D$503,B123,Marks!$A$4:$A$503,E123))</f>
        <v/>
      </c>
      <c r="I123" s="9">
        <f>IFERROR(G123/H123*100,"")</f>
        <v/>
      </c>
      <c r="J123">
        <f>IF(I123="","",IF(I123&gt;=90,"A+",IF(I123&gt;=80,"A",IF(I123&gt;=70,"B+",IF(I123&gt;=60,"B",IF(I123&gt;=50,"C+",IF(I123&gt;=40,"C","F")))))))</f>
        <v/>
      </c>
      <c r="K123">
        <f>IF(COUNTIFS(Marks!$D$4:$D$503,B123,Marks!$A$4:$A$503,E123,Marks!$O$4:$O$503,"FAIL")&gt;0,"FAIL","PASS")</f>
        <v/>
      </c>
    </row>
    <row r="124">
      <c r="F124">
        <f>IF(B124="","",COUNTIFS(Marks!$D$4:$D$503,B124,Marks!$A$4:$A$503,E124))</f>
        <v/>
      </c>
      <c r="G124">
        <f>IF(B124="","",SUMIFS(Marks!$L$4:$L$503,Marks!$D$4:$D$503,B124,Marks!$A$4:$A$503,E124))</f>
        <v/>
      </c>
      <c r="H124">
        <f>IF(B124="","",SUMIFS(Marks!$H$4:$H$503,Marks!$D$4:$D$503,B124,Marks!$A$4:$A$503,E124))</f>
        <v/>
      </c>
      <c r="I124" s="9">
        <f>IFERROR(G124/H124*100,"")</f>
        <v/>
      </c>
      <c r="J124">
        <f>IF(I124="","",IF(I124&gt;=90,"A+",IF(I124&gt;=80,"A",IF(I124&gt;=70,"B+",IF(I124&gt;=60,"B",IF(I124&gt;=50,"C+",IF(I124&gt;=40,"C","F")))))))</f>
        <v/>
      </c>
      <c r="K124">
        <f>IF(COUNTIFS(Marks!$D$4:$D$503,B124,Marks!$A$4:$A$503,E124,Marks!$O$4:$O$503,"FAIL")&gt;0,"FAIL","PASS")</f>
        <v/>
      </c>
    </row>
    <row r="125">
      <c r="F125">
        <f>IF(B125="","",COUNTIFS(Marks!$D$4:$D$503,B125,Marks!$A$4:$A$503,E125))</f>
        <v/>
      </c>
      <c r="G125">
        <f>IF(B125="","",SUMIFS(Marks!$L$4:$L$503,Marks!$D$4:$D$503,B125,Marks!$A$4:$A$503,E125))</f>
        <v/>
      </c>
      <c r="H125">
        <f>IF(B125="","",SUMIFS(Marks!$H$4:$H$503,Marks!$D$4:$D$503,B125,Marks!$A$4:$A$503,E125))</f>
        <v/>
      </c>
      <c r="I125" s="9">
        <f>IFERROR(G125/H125*100,"")</f>
        <v/>
      </c>
      <c r="J125">
        <f>IF(I125="","",IF(I125&gt;=90,"A+",IF(I125&gt;=80,"A",IF(I125&gt;=70,"B+",IF(I125&gt;=60,"B",IF(I125&gt;=50,"C+",IF(I125&gt;=40,"C","F")))))))</f>
        <v/>
      </c>
      <c r="K125">
        <f>IF(COUNTIFS(Marks!$D$4:$D$503,B125,Marks!$A$4:$A$503,E125,Marks!$O$4:$O$503,"FAIL")&gt;0,"FAIL","PASS")</f>
        <v/>
      </c>
    </row>
    <row r="126">
      <c r="F126">
        <f>IF(B126="","",COUNTIFS(Marks!$D$4:$D$503,B126,Marks!$A$4:$A$503,E126))</f>
        <v/>
      </c>
      <c r="G126">
        <f>IF(B126="","",SUMIFS(Marks!$L$4:$L$503,Marks!$D$4:$D$503,B126,Marks!$A$4:$A$503,E126))</f>
        <v/>
      </c>
      <c r="H126">
        <f>IF(B126="","",SUMIFS(Marks!$H$4:$H$503,Marks!$D$4:$D$503,B126,Marks!$A$4:$A$503,E126))</f>
        <v/>
      </c>
      <c r="I126" s="9">
        <f>IFERROR(G126/H126*100,"")</f>
        <v/>
      </c>
      <c r="J126">
        <f>IF(I126="","",IF(I126&gt;=90,"A+",IF(I126&gt;=80,"A",IF(I126&gt;=70,"B+",IF(I126&gt;=60,"B",IF(I126&gt;=50,"C+",IF(I126&gt;=40,"C","F")))))))</f>
        <v/>
      </c>
      <c r="K126">
        <f>IF(COUNTIFS(Marks!$D$4:$D$503,B126,Marks!$A$4:$A$503,E126,Marks!$O$4:$O$503,"FAIL")&gt;0,"FAIL","PASS")</f>
        <v/>
      </c>
    </row>
    <row r="127">
      <c r="F127">
        <f>IF(B127="","",COUNTIFS(Marks!$D$4:$D$503,B127,Marks!$A$4:$A$503,E127))</f>
        <v/>
      </c>
      <c r="G127">
        <f>IF(B127="","",SUMIFS(Marks!$L$4:$L$503,Marks!$D$4:$D$503,B127,Marks!$A$4:$A$503,E127))</f>
        <v/>
      </c>
      <c r="H127">
        <f>IF(B127="","",SUMIFS(Marks!$H$4:$H$503,Marks!$D$4:$D$503,B127,Marks!$A$4:$A$503,E127))</f>
        <v/>
      </c>
      <c r="I127" s="9">
        <f>IFERROR(G127/H127*100,"")</f>
        <v/>
      </c>
      <c r="J127">
        <f>IF(I127="","",IF(I127&gt;=90,"A+",IF(I127&gt;=80,"A",IF(I127&gt;=70,"B+",IF(I127&gt;=60,"B",IF(I127&gt;=50,"C+",IF(I127&gt;=40,"C","F")))))))</f>
        <v/>
      </c>
      <c r="K127">
        <f>IF(COUNTIFS(Marks!$D$4:$D$503,B127,Marks!$A$4:$A$503,E127,Marks!$O$4:$O$503,"FAIL")&gt;0,"FAIL","PASS")</f>
        <v/>
      </c>
    </row>
    <row r="128">
      <c r="F128">
        <f>IF(B128="","",COUNTIFS(Marks!$D$4:$D$503,B128,Marks!$A$4:$A$503,E128))</f>
        <v/>
      </c>
      <c r="G128">
        <f>IF(B128="","",SUMIFS(Marks!$L$4:$L$503,Marks!$D$4:$D$503,B128,Marks!$A$4:$A$503,E128))</f>
        <v/>
      </c>
      <c r="H128">
        <f>IF(B128="","",SUMIFS(Marks!$H$4:$H$503,Marks!$D$4:$D$503,B128,Marks!$A$4:$A$503,E128))</f>
        <v/>
      </c>
      <c r="I128" s="9">
        <f>IFERROR(G128/H128*100,"")</f>
        <v/>
      </c>
      <c r="J128">
        <f>IF(I128="","",IF(I128&gt;=90,"A+",IF(I128&gt;=80,"A",IF(I128&gt;=70,"B+",IF(I128&gt;=60,"B",IF(I128&gt;=50,"C+",IF(I128&gt;=40,"C","F")))))))</f>
        <v/>
      </c>
      <c r="K128">
        <f>IF(COUNTIFS(Marks!$D$4:$D$503,B128,Marks!$A$4:$A$503,E128,Marks!$O$4:$O$503,"FAIL")&gt;0,"FAIL","PASS")</f>
        <v/>
      </c>
    </row>
    <row r="129">
      <c r="F129">
        <f>IF(B129="","",COUNTIFS(Marks!$D$4:$D$503,B129,Marks!$A$4:$A$503,E129))</f>
        <v/>
      </c>
      <c r="G129">
        <f>IF(B129="","",SUMIFS(Marks!$L$4:$L$503,Marks!$D$4:$D$503,B129,Marks!$A$4:$A$503,E129))</f>
        <v/>
      </c>
      <c r="H129">
        <f>IF(B129="","",SUMIFS(Marks!$H$4:$H$503,Marks!$D$4:$D$503,B129,Marks!$A$4:$A$503,E129))</f>
        <v/>
      </c>
      <c r="I129" s="9">
        <f>IFERROR(G129/H129*100,"")</f>
        <v/>
      </c>
      <c r="J129">
        <f>IF(I129="","",IF(I129&gt;=90,"A+",IF(I129&gt;=80,"A",IF(I129&gt;=70,"B+",IF(I129&gt;=60,"B",IF(I129&gt;=50,"C+",IF(I129&gt;=40,"C","F")))))))</f>
        <v/>
      </c>
      <c r="K129">
        <f>IF(COUNTIFS(Marks!$D$4:$D$503,B129,Marks!$A$4:$A$503,E129,Marks!$O$4:$O$503,"FAIL")&gt;0,"FAIL","PASS")</f>
        <v/>
      </c>
    </row>
    <row r="130">
      <c r="F130">
        <f>IF(B130="","",COUNTIFS(Marks!$D$4:$D$503,B130,Marks!$A$4:$A$503,E130))</f>
        <v/>
      </c>
      <c r="G130">
        <f>IF(B130="","",SUMIFS(Marks!$L$4:$L$503,Marks!$D$4:$D$503,B130,Marks!$A$4:$A$503,E130))</f>
        <v/>
      </c>
      <c r="H130">
        <f>IF(B130="","",SUMIFS(Marks!$H$4:$H$503,Marks!$D$4:$D$503,B130,Marks!$A$4:$A$503,E130))</f>
        <v/>
      </c>
      <c r="I130" s="9">
        <f>IFERROR(G130/H130*100,"")</f>
        <v/>
      </c>
      <c r="J130">
        <f>IF(I130="","",IF(I130&gt;=90,"A+",IF(I130&gt;=80,"A",IF(I130&gt;=70,"B+",IF(I130&gt;=60,"B",IF(I130&gt;=50,"C+",IF(I130&gt;=40,"C","F")))))))</f>
        <v/>
      </c>
      <c r="K130">
        <f>IF(COUNTIFS(Marks!$D$4:$D$503,B130,Marks!$A$4:$A$503,E130,Marks!$O$4:$O$503,"FAIL")&gt;0,"FAIL","PASS")</f>
        <v/>
      </c>
    </row>
    <row r="131">
      <c r="F131">
        <f>IF(B131="","",COUNTIFS(Marks!$D$4:$D$503,B131,Marks!$A$4:$A$503,E131))</f>
        <v/>
      </c>
      <c r="G131">
        <f>IF(B131="","",SUMIFS(Marks!$L$4:$L$503,Marks!$D$4:$D$503,B131,Marks!$A$4:$A$503,E131))</f>
        <v/>
      </c>
      <c r="H131">
        <f>IF(B131="","",SUMIFS(Marks!$H$4:$H$503,Marks!$D$4:$D$503,B131,Marks!$A$4:$A$503,E131))</f>
        <v/>
      </c>
      <c r="I131" s="9">
        <f>IFERROR(G131/H131*100,"")</f>
        <v/>
      </c>
      <c r="J131">
        <f>IF(I131="","",IF(I131&gt;=90,"A+",IF(I131&gt;=80,"A",IF(I131&gt;=70,"B+",IF(I131&gt;=60,"B",IF(I131&gt;=50,"C+",IF(I131&gt;=40,"C","F")))))))</f>
        <v/>
      </c>
      <c r="K131">
        <f>IF(COUNTIFS(Marks!$D$4:$D$503,B131,Marks!$A$4:$A$503,E131,Marks!$O$4:$O$503,"FAIL")&gt;0,"FAIL","PASS")</f>
        <v/>
      </c>
    </row>
    <row r="132">
      <c r="F132">
        <f>IF(B132="","",COUNTIFS(Marks!$D$4:$D$503,B132,Marks!$A$4:$A$503,E132))</f>
        <v/>
      </c>
      <c r="G132">
        <f>IF(B132="","",SUMIFS(Marks!$L$4:$L$503,Marks!$D$4:$D$503,B132,Marks!$A$4:$A$503,E132))</f>
        <v/>
      </c>
      <c r="H132">
        <f>IF(B132="","",SUMIFS(Marks!$H$4:$H$503,Marks!$D$4:$D$503,B132,Marks!$A$4:$A$503,E132))</f>
        <v/>
      </c>
      <c r="I132" s="9">
        <f>IFERROR(G132/H132*100,"")</f>
        <v/>
      </c>
      <c r="J132">
        <f>IF(I132="","",IF(I132&gt;=90,"A+",IF(I132&gt;=80,"A",IF(I132&gt;=70,"B+",IF(I132&gt;=60,"B",IF(I132&gt;=50,"C+",IF(I132&gt;=40,"C","F")))))))</f>
        <v/>
      </c>
      <c r="K132">
        <f>IF(COUNTIFS(Marks!$D$4:$D$503,B132,Marks!$A$4:$A$503,E132,Marks!$O$4:$O$503,"FAIL")&gt;0,"FAIL","PASS")</f>
        <v/>
      </c>
    </row>
    <row r="133">
      <c r="F133">
        <f>IF(B133="","",COUNTIFS(Marks!$D$4:$D$503,B133,Marks!$A$4:$A$503,E133))</f>
        <v/>
      </c>
      <c r="G133">
        <f>IF(B133="","",SUMIFS(Marks!$L$4:$L$503,Marks!$D$4:$D$503,B133,Marks!$A$4:$A$503,E133))</f>
        <v/>
      </c>
      <c r="H133">
        <f>IF(B133="","",SUMIFS(Marks!$H$4:$H$503,Marks!$D$4:$D$503,B133,Marks!$A$4:$A$503,E133))</f>
        <v/>
      </c>
      <c r="I133" s="9">
        <f>IFERROR(G133/H133*100,"")</f>
        <v/>
      </c>
      <c r="J133">
        <f>IF(I133="","",IF(I133&gt;=90,"A+",IF(I133&gt;=80,"A",IF(I133&gt;=70,"B+",IF(I133&gt;=60,"B",IF(I133&gt;=50,"C+",IF(I133&gt;=40,"C","F")))))))</f>
        <v/>
      </c>
      <c r="K133">
        <f>IF(COUNTIFS(Marks!$D$4:$D$503,B133,Marks!$A$4:$A$503,E133,Marks!$O$4:$O$503,"FAIL")&gt;0,"FAIL","PASS")</f>
        <v/>
      </c>
    </row>
    <row r="134">
      <c r="F134">
        <f>IF(B134="","",COUNTIFS(Marks!$D$4:$D$503,B134,Marks!$A$4:$A$503,E134))</f>
        <v/>
      </c>
      <c r="G134">
        <f>IF(B134="","",SUMIFS(Marks!$L$4:$L$503,Marks!$D$4:$D$503,B134,Marks!$A$4:$A$503,E134))</f>
        <v/>
      </c>
      <c r="H134">
        <f>IF(B134="","",SUMIFS(Marks!$H$4:$H$503,Marks!$D$4:$D$503,B134,Marks!$A$4:$A$503,E134))</f>
        <v/>
      </c>
      <c r="I134" s="9">
        <f>IFERROR(G134/H134*100,"")</f>
        <v/>
      </c>
      <c r="J134">
        <f>IF(I134="","",IF(I134&gt;=90,"A+",IF(I134&gt;=80,"A",IF(I134&gt;=70,"B+",IF(I134&gt;=60,"B",IF(I134&gt;=50,"C+",IF(I134&gt;=40,"C","F")))))))</f>
        <v/>
      </c>
      <c r="K134">
        <f>IF(COUNTIFS(Marks!$D$4:$D$503,B134,Marks!$A$4:$A$503,E134,Marks!$O$4:$O$503,"FAIL")&gt;0,"FAIL","PASS")</f>
        <v/>
      </c>
    </row>
    <row r="135">
      <c r="F135">
        <f>IF(B135="","",COUNTIFS(Marks!$D$4:$D$503,B135,Marks!$A$4:$A$503,E135))</f>
        <v/>
      </c>
      <c r="G135">
        <f>IF(B135="","",SUMIFS(Marks!$L$4:$L$503,Marks!$D$4:$D$503,B135,Marks!$A$4:$A$503,E135))</f>
        <v/>
      </c>
      <c r="H135">
        <f>IF(B135="","",SUMIFS(Marks!$H$4:$H$503,Marks!$D$4:$D$503,B135,Marks!$A$4:$A$503,E135))</f>
        <v/>
      </c>
      <c r="I135" s="9">
        <f>IFERROR(G135/H135*100,"")</f>
        <v/>
      </c>
      <c r="J135">
        <f>IF(I135="","",IF(I135&gt;=90,"A+",IF(I135&gt;=80,"A",IF(I135&gt;=70,"B+",IF(I135&gt;=60,"B",IF(I135&gt;=50,"C+",IF(I135&gt;=40,"C","F")))))))</f>
        <v/>
      </c>
      <c r="K135">
        <f>IF(COUNTIFS(Marks!$D$4:$D$503,B135,Marks!$A$4:$A$503,E135,Marks!$O$4:$O$503,"FAIL")&gt;0,"FAIL","PASS")</f>
        <v/>
      </c>
    </row>
    <row r="136">
      <c r="F136">
        <f>IF(B136="","",COUNTIFS(Marks!$D$4:$D$503,B136,Marks!$A$4:$A$503,E136))</f>
        <v/>
      </c>
      <c r="G136">
        <f>IF(B136="","",SUMIFS(Marks!$L$4:$L$503,Marks!$D$4:$D$503,B136,Marks!$A$4:$A$503,E136))</f>
        <v/>
      </c>
      <c r="H136">
        <f>IF(B136="","",SUMIFS(Marks!$H$4:$H$503,Marks!$D$4:$D$503,B136,Marks!$A$4:$A$503,E136))</f>
        <v/>
      </c>
      <c r="I136" s="9">
        <f>IFERROR(G136/H136*100,"")</f>
        <v/>
      </c>
      <c r="J136">
        <f>IF(I136="","",IF(I136&gt;=90,"A+",IF(I136&gt;=80,"A",IF(I136&gt;=70,"B+",IF(I136&gt;=60,"B",IF(I136&gt;=50,"C+",IF(I136&gt;=40,"C","F")))))))</f>
        <v/>
      </c>
      <c r="K136">
        <f>IF(COUNTIFS(Marks!$D$4:$D$503,B136,Marks!$A$4:$A$503,E136,Marks!$O$4:$O$503,"FAIL")&gt;0,"FAIL","PASS")</f>
        <v/>
      </c>
    </row>
    <row r="137">
      <c r="F137">
        <f>IF(B137="","",COUNTIFS(Marks!$D$4:$D$503,B137,Marks!$A$4:$A$503,E137))</f>
        <v/>
      </c>
      <c r="G137">
        <f>IF(B137="","",SUMIFS(Marks!$L$4:$L$503,Marks!$D$4:$D$503,B137,Marks!$A$4:$A$503,E137))</f>
        <v/>
      </c>
      <c r="H137">
        <f>IF(B137="","",SUMIFS(Marks!$H$4:$H$503,Marks!$D$4:$D$503,B137,Marks!$A$4:$A$503,E137))</f>
        <v/>
      </c>
      <c r="I137" s="9">
        <f>IFERROR(G137/H137*100,"")</f>
        <v/>
      </c>
      <c r="J137">
        <f>IF(I137="","",IF(I137&gt;=90,"A+",IF(I137&gt;=80,"A",IF(I137&gt;=70,"B+",IF(I137&gt;=60,"B",IF(I137&gt;=50,"C+",IF(I137&gt;=40,"C","F")))))))</f>
        <v/>
      </c>
      <c r="K137">
        <f>IF(COUNTIFS(Marks!$D$4:$D$503,B137,Marks!$A$4:$A$503,E137,Marks!$O$4:$O$503,"FAIL")&gt;0,"FAIL","PASS")</f>
        <v/>
      </c>
    </row>
    <row r="138">
      <c r="F138">
        <f>IF(B138="","",COUNTIFS(Marks!$D$4:$D$503,B138,Marks!$A$4:$A$503,E138))</f>
        <v/>
      </c>
      <c r="G138">
        <f>IF(B138="","",SUMIFS(Marks!$L$4:$L$503,Marks!$D$4:$D$503,B138,Marks!$A$4:$A$503,E138))</f>
        <v/>
      </c>
      <c r="H138">
        <f>IF(B138="","",SUMIFS(Marks!$H$4:$H$503,Marks!$D$4:$D$503,B138,Marks!$A$4:$A$503,E138))</f>
        <v/>
      </c>
      <c r="I138" s="9">
        <f>IFERROR(G138/H138*100,"")</f>
        <v/>
      </c>
      <c r="J138">
        <f>IF(I138="","",IF(I138&gt;=90,"A+",IF(I138&gt;=80,"A",IF(I138&gt;=70,"B+",IF(I138&gt;=60,"B",IF(I138&gt;=50,"C+",IF(I138&gt;=40,"C","F")))))))</f>
        <v/>
      </c>
      <c r="K138">
        <f>IF(COUNTIFS(Marks!$D$4:$D$503,B138,Marks!$A$4:$A$503,E138,Marks!$O$4:$O$503,"FAIL")&gt;0,"FAIL","PASS")</f>
        <v/>
      </c>
    </row>
    <row r="139">
      <c r="F139">
        <f>IF(B139="","",COUNTIFS(Marks!$D$4:$D$503,B139,Marks!$A$4:$A$503,E139))</f>
        <v/>
      </c>
      <c r="G139">
        <f>IF(B139="","",SUMIFS(Marks!$L$4:$L$503,Marks!$D$4:$D$503,B139,Marks!$A$4:$A$503,E139))</f>
        <v/>
      </c>
      <c r="H139">
        <f>IF(B139="","",SUMIFS(Marks!$H$4:$H$503,Marks!$D$4:$D$503,B139,Marks!$A$4:$A$503,E139))</f>
        <v/>
      </c>
      <c r="I139" s="9">
        <f>IFERROR(G139/H139*100,"")</f>
        <v/>
      </c>
      <c r="J139">
        <f>IF(I139="","",IF(I139&gt;=90,"A+",IF(I139&gt;=80,"A",IF(I139&gt;=70,"B+",IF(I139&gt;=60,"B",IF(I139&gt;=50,"C+",IF(I139&gt;=40,"C","F")))))))</f>
        <v/>
      </c>
      <c r="K139">
        <f>IF(COUNTIFS(Marks!$D$4:$D$503,B139,Marks!$A$4:$A$503,E139,Marks!$O$4:$O$503,"FAIL")&gt;0,"FAIL","PASS")</f>
        <v/>
      </c>
    </row>
    <row r="140">
      <c r="F140">
        <f>IF(B140="","",COUNTIFS(Marks!$D$4:$D$503,B140,Marks!$A$4:$A$503,E140))</f>
        <v/>
      </c>
      <c r="G140">
        <f>IF(B140="","",SUMIFS(Marks!$L$4:$L$503,Marks!$D$4:$D$503,B140,Marks!$A$4:$A$503,E140))</f>
        <v/>
      </c>
      <c r="H140">
        <f>IF(B140="","",SUMIFS(Marks!$H$4:$H$503,Marks!$D$4:$D$503,B140,Marks!$A$4:$A$503,E140))</f>
        <v/>
      </c>
      <c r="I140" s="9">
        <f>IFERROR(G140/H140*100,"")</f>
        <v/>
      </c>
      <c r="J140">
        <f>IF(I140="","",IF(I140&gt;=90,"A+",IF(I140&gt;=80,"A",IF(I140&gt;=70,"B+",IF(I140&gt;=60,"B",IF(I140&gt;=50,"C+",IF(I140&gt;=40,"C","F")))))))</f>
        <v/>
      </c>
      <c r="K140">
        <f>IF(COUNTIFS(Marks!$D$4:$D$503,B140,Marks!$A$4:$A$503,E140,Marks!$O$4:$O$503,"FAIL")&gt;0,"FAIL","PASS")</f>
        <v/>
      </c>
    </row>
    <row r="141">
      <c r="F141">
        <f>IF(B141="","",COUNTIFS(Marks!$D$4:$D$503,B141,Marks!$A$4:$A$503,E141))</f>
        <v/>
      </c>
      <c r="G141">
        <f>IF(B141="","",SUMIFS(Marks!$L$4:$L$503,Marks!$D$4:$D$503,B141,Marks!$A$4:$A$503,E141))</f>
        <v/>
      </c>
      <c r="H141">
        <f>IF(B141="","",SUMIFS(Marks!$H$4:$H$503,Marks!$D$4:$D$503,B141,Marks!$A$4:$A$503,E141))</f>
        <v/>
      </c>
      <c r="I141" s="9">
        <f>IFERROR(G141/H141*100,"")</f>
        <v/>
      </c>
      <c r="J141">
        <f>IF(I141="","",IF(I141&gt;=90,"A+",IF(I141&gt;=80,"A",IF(I141&gt;=70,"B+",IF(I141&gt;=60,"B",IF(I141&gt;=50,"C+",IF(I141&gt;=40,"C","F")))))))</f>
        <v/>
      </c>
      <c r="K141">
        <f>IF(COUNTIFS(Marks!$D$4:$D$503,B141,Marks!$A$4:$A$503,E141,Marks!$O$4:$O$503,"FAIL")&gt;0,"FAIL","PASS")</f>
        <v/>
      </c>
    </row>
    <row r="142">
      <c r="F142">
        <f>IF(B142="","",COUNTIFS(Marks!$D$4:$D$503,B142,Marks!$A$4:$A$503,E142))</f>
        <v/>
      </c>
      <c r="G142">
        <f>IF(B142="","",SUMIFS(Marks!$L$4:$L$503,Marks!$D$4:$D$503,B142,Marks!$A$4:$A$503,E142))</f>
        <v/>
      </c>
      <c r="H142">
        <f>IF(B142="","",SUMIFS(Marks!$H$4:$H$503,Marks!$D$4:$D$503,B142,Marks!$A$4:$A$503,E142))</f>
        <v/>
      </c>
      <c r="I142" s="9">
        <f>IFERROR(G142/H142*100,"")</f>
        <v/>
      </c>
      <c r="J142">
        <f>IF(I142="","",IF(I142&gt;=90,"A+",IF(I142&gt;=80,"A",IF(I142&gt;=70,"B+",IF(I142&gt;=60,"B",IF(I142&gt;=50,"C+",IF(I142&gt;=40,"C","F")))))))</f>
        <v/>
      </c>
      <c r="K142">
        <f>IF(COUNTIFS(Marks!$D$4:$D$503,B142,Marks!$A$4:$A$503,E142,Marks!$O$4:$O$503,"FAIL")&gt;0,"FAIL","PASS")</f>
        <v/>
      </c>
    </row>
    <row r="143">
      <c r="F143">
        <f>IF(B143="","",COUNTIFS(Marks!$D$4:$D$503,B143,Marks!$A$4:$A$503,E143))</f>
        <v/>
      </c>
      <c r="G143">
        <f>IF(B143="","",SUMIFS(Marks!$L$4:$L$503,Marks!$D$4:$D$503,B143,Marks!$A$4:$A$503,E143))</f>
        <v/>
      </c>
      <c r="H143">
        <f>IF(B143="","",SUMIFS(Marks!$H$4:$H$503,Marks!$D$4:$D$503,B143,Marks!$A$4:$A$503,E143))</f>
        <v/>
      </c>
      <c r="I143" s="9">
        <f>IFERROR(G143/H143*100,"")</f>
        <v/>
      </c>
      <c r="J143">
        <f>IF(I143="","",IF(I143&gt;=90,"A+",IF(I143&gt;=80,"A",IF(I143&gt;=70,"B+",IF(I143&gt;=60,"B",IF(I143&gt;=50,"C+",IF(I143&gt;=40,"C","F")))))))</f>
        <v/>
      </c>
      <c r="K143">
        <f>IF(COUNTIFS(Marks!$D$4:$D$503,B143,Marks!$A$4:$A$503,E143,Marks!$O$4:$O$503,"FAIL")&gt;0,"FAIL","PASS")</f>
        <v/>
      </c>
    </row>
    <row r="144">
      <c r="F144">
        <f>IF(B144="","",COUNTIFS(Marks!$D$4:$D$503,B144,Marks!$A$4:$A$503,E144))</f>
        <v/>
      </c>
      <c r="G144">
        <f>IF(B144="","",SUMIFS(Marks!$L$4:$L$503,Marks!$D$4:$D$503,B144,Marks!$A$4:$A$503,E144))</f>
        <v/>
      </c>
      <c r="H144">
        <f>IF(B144="","",SUMIFS(Marks!$H$4:$H$503,Marks!$D$4:$D$503,B144,Marks!$A$4:$A$503,E144))</f>
        <v/>
      </c>
      <c r="I144" s="9">
        <f>IFERROR(G144/H144*100,"")</f>
        <v/>
      </c>
      <c r="J144">
        <f>IF(I144="","",IF(I144&gt;=90,"A+",IF(I144&gt;=80,"A",IF(I144&gt;=70,"B+",IF(I144&gt;=60,"B",IF(I144&gt;=50,"C+",IF(I144&gt;=40,"C","F")))))))</f>
        <v/>
      </c>
      <c r="K144">
        <f>IF(COUNTIFS(Marks!$D$4:$D$503,B144,Marks!$A$4:$A$503,E144,Marks!$O$4:$O$503,"FAIL")&gt;0,"FAIL","PASS")</f>
        <v/>
      </c>
    </row>
    <row r="145">
      <c r="F145">
        <f>IF(B145="","",COUNTIFS(Marks!$D$4:$D$503,B145,Marks!$A$4:$A$503,E145))</f>
        <v/>
      </c>
      <c r="G145">
        <f>IF(B145="","",SUMIFS(Marks!$L$4:$L$503,Marks!$D$4:$D$503,B145,Marks!$A$4:$A$503,E145))</f>
        <v/>
      </c>
      <c r="H145">
        <f>IF(B145="","",SUMIFS(Marks!$H$4:$H$503,Marks!$D$4:$D$503,B145,Marks!$A$4:$A$503,E145))</f>
        <v/>
      </c>
      <c r="I145" s="9">
        <f>IFERROR(G145/H145*100,"")</f>
        <v/>
      </c>
      <c r="J145">
        <f>IF(I145="","",IF(I145&gt;=90,"A+",IF(I145&gt;=80,"A",IF(I145&gt;=70,"B+",IF(I145&gt;=60,"B",IF(I145&gt;=50,"C+",IF(I145&gt;=40,"C","F")))))))</f>
        <v/>
      </c>
      <c r="K145">
        <f>IF(COUNTIFS(Marks!$D$4:$D$503,B145,Marks!$A$4:$A$503,E145,Marks!$O$4:$O$503,"FAIL")&gt;0,"FAIL","PASS")</f>
        <v/>
      </c>
    </row>
    <row r="146">
      <c r="F146">
        <f>IF(B146="","",COUNTIFS(Marks!$D$4:$D$503,B146,Marks!$A$4:$A$503,E146))</f>
        <v/>
      </c>
      <c r="G146">
        <f>IF(B146="","",SUMIFS(Marks!$L$4:$L$503,Marks!$D$4:$D$503,B146,Marks!$A$4:$A$503,E146))</f>
        <v/>
      </c>
      <c r="H146">
        <f>IF(B146="","",SUMIFS(Marks!$H$4:$H$503,Marks!$D$4:$D$503,B146,Marks!$A$4:$A$503,E146))</f>
        <v/>
      </c>
      <c r="I146" s="9">
        <f>IFERROR(G146/H146*100,"")</f>
        <v/>
      </c>
      <c r="J146">
        <f>IF(I146="","",IF(I146&gt;=90,"A+",IF(I146&gt;=80,"A",IF(I146&gt;=70,"B+",IF(I146&gt;=60,"B",IF(I146&gt;=50,"C+",IF(I146&gt;=40,"C","F")))))))</f>
        <v/>
      </c>
      <c r="K146">
        <f>IF(COUNTIFS(Marks!$D$4:$D$503,B146,Marks!$A$4:$A$503,E146,Marks!$O$4:$O$503,"FAIL")&gt;0,"FAIL","PASS")</f>
        <v/>
      </c>
    </row>
    <row r="147">
      <c r="F147">
        <f>IF(B147="","",COUNTIFS(Marks!$D$4:$D$503,B147,Marks!$A$4:$A$503,E147))</f>
        <v/>
      </c>
      <c r="G147">
        <f>IF(B147="","",SUMIFS(Marks!$L$4:$L$503,Marks!$D$4:$D$503,B147,Marks!$A$4:$A$503,E147))</f>
        <v/>
      </c>
      <c r="H147">
        <f>IF(B147="","",SUMIFS(Marks!$H$4:$H$503,Marks!$D$4:$D$503,B147,Marks!$A$4:$A$503,E147))</f>
        <v/>
      </c>
      <c r="I147" s="9">
        <f>IFERROR(G147/H147*100,"")</f>
        <v/>
      </c>
      <c r="J147">
        <f>IF(I147="","",IF(I147&gt;=90,"A+",IF(I147&gt;=80,"A",IF(I147&gt;=70,"B+",IF(I147&gt;=60,"B",IF(I147&gt;=50,"C+",IF(I147&gt;=40,"C","F")))))))</f>
        <v/>
      </c>
      <c r="K147">
        <f>IF(COUNTIFS(Marks!$D$4:$D$503,B147,Marks!$A$4:$A$503,E147,Marks!$O$4:$O$503,"FAIL")&gt;0,"FAIL","PASS")</f>
        <v/>
      </c>
    </row>
    <row r="148">
      <c r="F148">
        <f>IF(B148="","",COUNTIFS(Marks!$D$4:$D$503,B148,Marks!$A$4:$A$503,E148))</f>
        <v/>
      </c>
      <c r="G148">
        <f>IF(B148="","",SUMIFS(Marks!$L$4:$L$503,Marks!$D$4:$D$503,B148,Marks!$A$4:$A$503,E148))</f>
        <v/>
      </c>
      <c r="H148">
        <f>IF(B148="","",SUMIFS(Marks!$H$4:$H$503,Marks!$D$4:$D$503,B148,Marks!$A$4:$A$503,E148))</f>
        <v/>
      </c>
      <c r="I148" s="9">
        <f>IFERROR(G148/H148*100,"")</f>
        <v/>
      </c>
      <c r="J148">
        <f>IF(I148="","",IF(I148&gt;=90,"A+",IF(I148&gt;=80,"A",IF(I148&gt;=70,"B+",IF(I148&gt;=60,"B",IF(I148&gt;=50,"C+",IF(I148&gt;=40,"C","F")))))))</f>
        <v/>
      </c>
      <c r="K148">
        <f>IF(COUNTIFS(Marks!$D$4:$D$503,B148,Marks!$A$4:$A$503,E148,Marks!$O$4:$O$503,"FAIL")&gt;0,"FAIL","PASS")</f>
        <v/>
      </c>
    </row>
    <row r="149">
      <c r="F149">
        <f>IF(B149="","",COUNTIFS(Marks!$D$4:$D$503,B149,Marks!$A$4:$A$503,E149))</f>
        <v/>
      </c>
      <c r="G149">
        <f>IF(B149="","",SUMIFS(Marks!$L$4:$L$503,Marks!$D$4:$D$503,B149,Marks!$A$4:$A$503,E149))</f>
        <v/>
      </c>
      <c r="H149">
        <f>IF(B149="","",SUMIFS(Marks!$H$4:$H$503,Marks!$D$4:$D$503,B149,Marks!$A$4:$A$503,E149))</f>
        <v/>
      </c>
      <c r="I149" s="9">
        <f>IFERROR(G149/H149*100,"")</f>
        <v/>
      </c>
      <c r="J149">
        <f>IF(I149="","",IF(I149&gt;=90,"A+",IF(I149&gt;=80,"A",IF(I149&gt;=70,"B+",IF(I149&gt;=60,"B",IF(I149&gt;=50,"C+",IF(I149&gt;=40,"C","F")))))))</f>
        <v/>
      </c>
      <c r="K149">
        <f>IF(COUNTIFS(Marks!$D$4:$D$503,B149,Marks!$A$4:$A$503,E149,Marks!$O$4:$O$503,"FAIL")&gt;0,"FAIL","PASS")</f>
        <v/>
      </c>
    </row>
    <row r="150">
      <c r="F150">
        <f>IF(B150="","",COUNTIFS(Marks!$D$4:$D$503,B150,Marks!$A$4:$A$503,E150))</f>
        <v/>
      </c>
      <c r="G150">
        <f>IF(B150="","",SUMIFS(Marks!$L$4:$L$503,Marks!$D$4:$D$503,B150,Marks!$A$4:$A$503,E150))</f>
        <v/>
      </c>
      <c r="H150">
        <f>IF(B150="","",SUMIFS(Marks!$H$4:$H$503,Marks!$D$4:$D$503,B150,Marks!$A$4:$A$503,E150))</f>
        <v/>
      </c>
      <c r="I150" s="9">
        <f>IFERROR(G150/H150*100,"")</f>
        <v/>
      </c>
      <c r="J150">
        <f>IF(I150="","",IF(I150&gt;=90,"A+",IF(I150&gt;=80,"A",IF(I150&gt;=70,"B+",IF(I150&gt;=60,"B",IF(I150&gt;=50,"C+",IF(I150&gt;=40,"C","F")))))))</f>
        <v/>
      </c>
      <c r="K150">
        <f>IF(COUNTIFS(Marks!$D$4:$D$503,B150,Marks!$A$4:$A$503,E150,Marks!$O$4:$O$503,"FAIL")&gt;0,"FAIL","PASS")</f>
        <v/>
      </c>
    </row>
    <row r="151">
      <c r="F151">
        <f>IF(B151="","",COUNTIFS(Marks!$D$4:$D$503,B151,Marks!$A$4:$A$503,E151))</f>
        <v/>
      </c>
      <c r="G151">
        <f>IF(B151="","",SUMIFS(Marks!$L$4:$L$503,Marks!$D$4:$D$503,B151,Marks!$A$4:$A$503,E151))</f>
        <v/>
      </c>
      <c r="H151">
        <f>IF(B151="","",SUMIFS(Marks!$H$4:$H$503,Marks!$D$4:$D$503,B151,Marks!$A$4:$A$503,E151))</f>
        <v/>
      </c>
      <c r="I151" s="9">
        <f>IFERROR(G151/H151*100,"")</f>
        <v/>
      </c>
      <c r="J151">
        <f>IF(I151="","",IF(I151&gt;=90,"A+",IF(I151&gt;=80,"A",IF(I151&gt;=70,"B+",IF(I151&gt;=60,"B",IF(I151&gt;=50,"C+",IF(I151&gt;=40,"C","F")))))))</f>
        <v/>
      </c>
      <c r="K151">
        <f>IF(COUNTIFS(Marks!$D$4:$D$503,B151,Marks!$A$4:$A$503,E151,Marks!$O$4:$O$503,"FAIL")&gt;0,"FAIL","PASS")</f>
        <v/>
      </c>
    </row>
    <row r="152">
      <c r="F152">
        <f>IF(B152="","",COUNTIFS(Marks!$D$4:$D$503,B152,Marks!$A$4:$A$503,E152))</f>
        <v/>
      </c>
      <c r="G152">
        <f>IF(B152="","",SUMIFS(Marks!$L$4:$L$503,Marks!$D$4:$D$503,B152,Marks!$A$4:$A$503,E152))</f>
        <v/>
      </c>
      <c r="H152">
        <f>IF(B152="","",SUMIFS(Marks!$H$4:$H$503,Marks!$D$4:$D$503,B152,Marks!$A$4:$A$503,E152))</f>
        <v/>
      </c>
      <c r="I152" s="9">
        <f>IFERROR(G152/H152*100,"")</f>
        <v/>
      </c>
      <c r="J152">
        <f>IF(I152="","",IF(I152&gt;=90,"A+",IF(I152&gt;=80,"A",IF(I152&gt;=70,"B+",IF(I152&gt;=60,"B",IF(I152&gt;=50,"C+",IF(I152&gt;=40,"C","F")))))))</f>
        <v/>
      </c>
      <c r="K152">
        <f>IF(COUNTIFS(Marks!$D$4:$D$503,B152,Marks!$A$4:$A$503,E152,Marks!$O$4:$O$503,"FAIL")&gt;0,"FAIL","PASS")</f>
        <v/>
      </c>
    </row>
    <row r="153">
      <c r="F153">
        <f>IF(B153="","",COUNTIFS(Marks!$D$4:$D$503,B153,Marks!$A$4:$A$503,E153))</f>
        <v/>
      </c>
      <c r="G153">
        <f>IF(B153="","",SUMIFS(Marks!$L$4:$L$503,Marks!$D$4:$D$503,B153,Marks!$A$4:$A$503,E153))</f>
        <v/>
      </c>
      <c r="H153">
        <f>IF(B153="","",SUMIFS(Marks!$H$4:$H$503,Marks!$D$4:$D$503,B153,Marks!$A$4:$A$503,E153))</f>
        <v/>
      </c>
      <c r="I153" s="9">
        <f>IFERROR(G153/H153*100,"")</f>
        <v/>
      </c>
      <c r="J153">
        <f>IF(I153="","",IF(I153&gt;=90,"A+",IF(I153&gt;=80,"A",IF(I153&gt;=70,"B+",IF(I153&gt;=60,"B",IF(I153&gt;=50,"C+",IF(I153&gt;=40,"C","F")))))))</f>
        <v/>
      </c>
      <c r="K153">
        <f>IF(COUNTIFS(Marks!$D$4:$D$503,B153,Marks!$A$4:$A$503,E153,Marks!$O$4:$O$503,"FAIL")&gt;0,"FAIL","PASS")</f>
        <v/>
      </c>
    </row>
    <row r="154">
      <c r="F154">
        <f>IF(B154="","",COUNTIFS(Marks!$D$4:$D$503,B154,Marks!$A$4:$A$503,E154))</f>
        <v/>
      </c>
      <c r="G154">
        <f>IF(B154="","",SUMIFS(Marks!$L$4:$L$503,Marks!$D$4:$D$503,B154,Marks!$A$4:$A$503,E154))</f>
        <v/>
      </c>
      <c r="H154">
        <f>IF(B154="","",SUMIFS(Marks!$H$4:$H$503,Marks!$D$4:$D$503,B154,Marks!$A$4:$A$503,E154))</f>
        <v/>
      </c>
      <c r="I154" s="9">
        <f>IFERROR(G154/H154*100,"")</f>
        <v/>
      </c>
      <c r="J154">
        <f>IF(I154="","",IF(I154&gt;=90,"A+",IF(I154&gt;=80,"A",IF(I154&gt;=70,"B+",IF(I154&gt;=60,"B",IF(I154&gt;=50,"C+",IF(I154&gt;=40,"C","F")))))))</f>
        <v/>
      </c>
      <c r="K154">
        <f>IF(COUNTIFS(Marks!$D$4:$D$503,B154,Marks!$A$4:$A$503,E154,Marks!$O$4:$O$503,"FAIL")&gt;0,"FAIL","PASS")</f>
        <v/>
      </c>
    </row>
    <row r="155">
      <c r="F155">
        <f>IF(B155="","",COUNTIFS(Marks!$D$4:$D$503,B155,Marks!$A$4:$A$503,E155))</f>
        <v/>
      </c>
      <c r="G155">
        <f>IF(B155="","",SUMIFS(Marks!$L$4:$L$503,Marks!$D$4:$D$503,B155,Marks!$A$4:$A$503,E155))</f>
        <v/>
      </c>
      <c r="H155">
        <f>IF(B155="","",SUMIFS(Marks!$H$4:$H$503,Marks!$D$4:$D$503,B155,Marks!$A$4:$A$503,E155))</f>
        <v/>
      </c>
      <c r="I155" s="9">
        <f>IFERROR(G155/H155*100,"")</f>
        <v/>
      </c>
      <c r="J155">
        <f>IF(I155="","",IF(I155&gt;=90,"A+",IF(I155&gt;=80,"A",IF(I155&gt;=70,"B+",IF(I155&gt;=60,"B",IF(I155&gt;=50,"C+",IF(I155&gt;=40,"C","F")))))))</f>
        <v/>
      </c>
      <c r="K155">
        <f>IF(COUNTIFS(Marks!$D$4:$D$503,B155,Marks!$A$4:$A$503,E155,Marks!$O$4:$O$503,"FAIL")&gt;0,"FAIL","PASS")</f>
        <v/>
      </c>
    </row>
    <row r="156">
      <c r="F156">
        <f>IF(B156="","",COUNTIFS(Marks!$D$4:$D$503,B156,Marks!$A$4:$A$503,E156))</f>
        <v/>
      </c>
      <c r="G156">
        <f>IF(B156="","",SUMIFS(Marks!$L$4:$L$503,Marks!$D$4:$D$503,B156,Marks!$A$4:$A$503,E156))</f>
        <v/>
      </c>
      <c r="H156">
        <f>IF(B156="","",SUMIFS(Marks!$H$4:$H$503,Marks!$D$4:$D$503,B156,Marks!$A$4:$A$503,E156))</f>
        <v/>
      </c>
      <c r="I156" s="9">
        <f>IFERROR(G156/H156*100,"")</f>
        <v/>
      </c>
      <c r="J156">
        <f>IF(I156="","",IF(I156&gt;=90,"A+",IF(I156&gt;=80,"A",IF(I156&gt;=70,"B+",IF(I156&gt;=60,"B",IF(I156&gt;=50,"C+",IF(I156&gt;=40,"C","F")))))))</f>
        <v/>
      </c>
      <c r="K156">
        <f>IF(COUNTIFS(Marks!$D$4:$D$503,B156,Marks!$A$4:$A$503,E156,Marks!$O$4:$O$503,"FAIL")&gt;0,"FAIL","PASS")</f>
        <v/>
      </c>
    </row>
    <row r="157">
      <c r="F157">
        <f>IF(B157="","",COUNTIFS(Marks!$D$4:$D$503,B157,Marks!$A$4:$A$503,E157))</f>
        <v/>
      </c>
      <c r="G157">
        <f>IF(B157="","",SUMIFS(Marks!$L$4:$L$503,Marks!$D$4:$D$503,B157,Marks!$A$4:$A$503,E157))</f>
        <v/>
      </c>
      <c r="H157">
        <f>IF(B157="","",SUMIFS(Marks!$H$4:$H$503,Marks!$D$4:$D$503,B157,Marks!$A$4:$A$503,E157))</f>
        <v/>
      </c>
      <c r="I157" s="9">
        <f>IFERROR(G157/H157*100,"")</f>
        <v/>
      </c>
      <c r="J157">
        <f>IF(I157="","",IF(I157&gt;=90,"A+",IF(I157&gt;=80,"A",IF(I157&gt;=70,"B+",IF(I157&gt;=60,"B",IF(I157&gt;=50,"C+",IF(I157&gt;=40,"C","F")))))))</f>
        <v/>
      </c>
      <c r="K157">
        <f>IF(COUNTIFS(Marks!$D$4:$D$503,B157,Marks!$A$4:$A$503,E157,Marks!$O$4:$O$503,"FAIL")&gt;0,"FAIL","PASS")</f>
        <v/>
      </c>
    </row>
    <row r="158">
      <c r="F158">
        <f>IF(B158="","",COUNTIFS(Marks!$D$4:$D$503,B158,Marks!$A$4:$A$503,E158))</f>
        <v/>
      </c>
      <c r="G158">
        <f>IF(B158="","",SUMIFS(Marks!$L$4:$L$503,Marks!$D$4:$D$503,B158,Marks!$A$4:$A$503,E158))</f>
        <v/>
      </c>
      <c r="H158">
        <f>IF(B158="","",SUMIFS(Marks!$H$4:$H$503,Marks!$D$4:$D$503,B158,Marks!$A$4:$A$503,E158))</f>
        <v/>
      </c>
      <c r="I158" s="9">
        <f>IFERROR(G158/H158*100,"")</f>
        <v/>
      </c>
      <c r="J158">
        <f>IF(I158="","",IF(I158&gt;=90,"A+",IF(I158&gt;=80,"A",IF(I158&gt;=70,"B+",IF(I158&gt;=60,"B",IF(I158&gt;=50,"C+",IF(I158&gt;=40,"C","F")))))))</f>
        <v/>
      </c>
      <c r="K158">
        <f>IF(COUNTIFS(Marks!$D$4:$D$503,B158,Marks!$A$4:$A$503,E158,Marks!$O$4:$O$503,"FAIL")&gt;0,"FAIL","PASS")</f>
        <v/>
      </c>
    </row>
    <row r="159">
      <c r="F159">
        <f>IF(B159="","",COUNTIFS(Marks!$D$4:$D$503,B159,Marks!$A$4:$A$503,E159))</f>
        <v/>
      </c>
      <c r="G159">
        <f>IF(B159="","",SUMIFS(Marks!$L$4:$L$503,Marks!$D$4:$D$503,B159,Marks!$A$4:$A$503,E159))</f>
        <v/>
      </c>
      <c r="H159">
        <f>IF(B159="","",SUMIFS(Marks!$H$4:$H$503,Marks!$D$4:$D$503,B159,Marks!$A$4:$A$503,E159))</f>
        <v/>
      </c>
      <c r="I159" s="9">
        <f>IFERROR(G159/H159*100,"")</f>
        <v/>
      </c>
      <c r="J159">
        <f>IF(I159="","",IF(I159&gt;=90,"A+",IF(I159&gt;=80,"A",IF(I159&gt;=70,"B+",IF(I159&gt;=60,"B",IF(I159&gt;=50,"C+",IF(I159&gt;=40,"C","F")))))))</f>
        <v/>
      </c>
      <c r="K159">
        <f>IF(COUNTIFS(Marks!$D$4:$D$503,B159,Marks!$A$4:$A$503,E159,Marks!$O$4:$O$503,"FAIL")&gt;0,"FAIL","PASS")</f>
        <v/>
      </c>
    </row>
    <row r="160">
      <c r="F160">
        <f>IF(B160="","",COUNTIFS(Marks!$D$4:$D$503,B160,Marks!$A$4:$A$503,E160))</f>
        <v/>
      </c>
      <c r="G160">
        <f>IF(B160="","",SUMIFS(Marks!$L$4:$L$503,Marks!$D$4:$D$503,B160,Marks!$A$4:$A$503,E160))</f>
        <v/>
      </c>
      <c r="H160">
        <f>IF(B160="","",SUMIFS(Marks!$H$4:$H$503,Marks!$D$4:$D$503,B160,Marks!$A$4:$A$503,E160))</f>
        <v/>
      </c>
      <c r="I160" s="9">
        <f>IFERROR(G160/H160*100,"")</f>
        <v/>
      </c>
      <c r="J160">
        <f>IF(I160="","",IF(I160&gt;=90,"A+",IF(I160&gt;=80,"A",IF(I160&gt;=70,"B+",IF(I160&gt;=60,"B",IF(I160&gt;=50,"C+",IF(I160&gt;=40,"C","F")))))))</f>
        <v/>
      </c>
      <c r="K160">
        <f>IF(COUNTIFS(Marks!$D$4:$D$503,B160,Marks!$A$4:$A$503,E160,Marks!$O$4:$O$503,"FAIL")&gt;0,"FAIL","PASS")</f>
        <v/>
      </c>
    </row>
    <row r="161">
      <c r="F161">
        <f>IF(B161="","",COUNTIFS(Marks!$D$4:$D$503,B161,Marks!$A$4:$A$503,E161))</f>
        <v/>
      </c>
      <c r="G161">
        <f>IF(B161="","",SUMIFS(Marks!$L$4:$L$503,Marks!$D$4:$D$503,B161,Marks!$A$4:$A$503,E161))</f>
        <v/>
      </c>
      <c r="H161">
        <f>IF(B161="","",SUMIFS(Marks!$H$4:$H$503,Marks!$D$4:$D$503,B161,Marks!$A$4:$A$503,E161))</f>
        <v/>
      </c>
      <c r="I161" s="9">
        <f>IFERROR(G161/H161*100,"")</f>
        <v/>
      </c>
      <c r="J161">
        <f>IF(I161="","",IF(I161&gt;=90,"A+",IF(I161&gt;=80,"A",IF(I161&gt;=70,"B+",IF(I161&gt;=60,"B",IF(I161&gt;=50,"C+",IF(I161&gt;=40,"C","F")))))))</f>
        <v/>
      </c>
      <c r="K161">
        <f>IF(COUNTIFS(Marks!$D$4:$D$503,B161,Marks!$A$4:$A$503,E161,Marks!$O$4:$O$503,"FAIL")&gt;0,"FAIL","PASS")</f>
        <v/>
      </c>
    </row>
    <row r="162">
      <c r="F162">
        <f>IF(B162="","",COUNTIFS(Marks!$D$4:$D$503,B162,Marks!$A$4:$A$503,E162))</f>
        <v/>
      </c>
      <c r="G162">
        <f>IF(B162="","",SUMIFS(Marks!$L$4:$L$503,Marks!$D$4:$D$503,B162,Marks!$A$4:$A$503,E162))</f>
        <v/>
      </c>
      <c r="H162">
        <f>IF(B162="","",SUMIFS(Marks!$H$4:$H$503,Marks!$D$4:$D$503,B162,Marks!$A$4:$A$503,E162))</f>
        <v/>
      </c>
      <c r="I162" s="9">
        <f>IFERROR(G162/H162*100,"")</f>
        <v/>
      </c>
      <c r="J162">
        <f>IF(I162="","",IF(I162&gt;=90,"A+",IF(I162&gt;=80,"A",IF(I162&gt;=70,"B+",IF(I162&gt;=60,"B",IF(I162&gt;=50,"C+",IF(I162&gt;=40,"C","F")))))))</f>
        <v/>
      </c>
      <c r="K162">
        <f>IF(COUNTIFS(Marks!$D$4:$D$503,B162,Marks!$A$4:$A$503,E162,Marks!$O$4:$O$503,"FAIL")&gt;0,"FAIL","PASS")</f>
        <v/>
      </c>
    </row>
    <row r="163">
      <c r="F163">
        <f>IF(B163="","",COUNTIFS(Marks!$D$4:$D$503,B163,Marks!$A$4:$A$503,E163))</f>
        <v/>
      </c>
      <c r="G163">
        <f>IF(B163="","",SUMIFS(Marks!$L$4:$L$503,Marks!$D$4:$D$503,B163,Marks!$A$4:$A$503,E163))</f>
        <v/>
      </c>
      <c r="H163">
        <f>IF(B163="","",SUMIFS(Marks!$H$4:$H$503,Marks!$D$4:$D$503,B163,Marks!$A$4:$A$503,E163))</f>
        <v/>
      </c>
      <c r="I163" s="9">
        <f>IFERROR(G163/H163*100,"")</f>
        <v/>
      </c>
      <c r="J163">
        <f>IF(I163="","",IF(I163&gt;=90,"A+",IF(I163&gt;=80,"A",IF(I163&gt;=70,"B+",IF(I163&gt;=60,"B",IF(I163&gt;=50,"C+",IF(I163&gt;=40,"C","F")))))))</f>
        <v/>
      </c>
      <c r="K163">
        <f>IF(COUNTIFS(Marks!$D$4:$D$503,B163,Marks!$A$4:$A$503,E163,Marks!$O$4:$O$503,"FAIL")&gt;0,"FAIL","PASS")</f>
        <v/>
      </c>
    </row>
    <row r="164">
      <c r="F164">
        <f>IF(B164="","",COUNTIFS(Marks!$D$4:$D$503,B164,Marks!$A$4:$A$503,E164))</f>
        <v/>
      </c>
      <c r="G164">
        <f>IF(B164="","",SUMIFS(Marks!$L$4:$L$503,Marks!$D$4:$D$503,B164,Marks!$A$4:$A$503,E164))</f>
        <v/>
      </c>
      <c r="H164">
        <f>IF(B164="","",SUMIFS(Marks!$H$4:$H$503,Marks!$D$4:$D$503,B164,Marks!$A$4:$A$503,E164))</f>
        <v/>
      </c>
      <c r="I164" s="9">
        <f>IFERROR(G164/H164*100,"")</f>
        <v/>
      </c>
      <c r="J164">
        <f>IF(I164="","",IF(I164&gt;=90,"A+",IF(I164&gt;=80,"A",IF(I164&gt;=70,"B+",IF(I164&gt;=60,"B",IF(I164&gt;=50,"C+",IF(I164&gt;=40,"C","F")))))))</f>
        <v/>
      </c>
      <c r="K164">
        <f>IF(COUNTIFS(Marks!$D$4:$D$503,B164,Marks!$A$4:$A$503,E164,Marks!$O$4:$O$503,"FAIL")&gt;0,"FAIL","PASS")</f>
        <v/>
      </c>
    </row>
    <row r="165">
      <c r="F165">
        <f>IF(B165="","",COUNTIFS(Marks!$D$4:$D$503,B165,Marks!$A$4:$A$503,E165))</f>
        <v/>
      </c>
      <c r="G165">
        <f>IF(B165="","",SUMIFS(Marks!$L$4:$L$503,Marks!$D$4:$D$503,B165,Marks!$A$4:$A$503,E165))</f>
        <v/>
      </c>
      <c r="H165">
        <f>IF(B165="","",SUMIFS(Marks!$H$4:$H$503,Marks!$D$4:$D$503,B165,Marks!$A$4:$A$503,E165))</f>
        <v/>
      </c>
      <c r="I165" s="9">
        <f>IFERROR(G165/H165*100,"")</f>
        <v/>
      </c>
      <c r="J165">
        <f>IF(I165="","",IF(I165&gt;=90,"A+",IF(I165&gt;=80,"A",IF(I165&gt;=70,"B+",IF(I165&gt;=60,"B",IF(I165&gt;=50,"C+",IF(I165&gt;=40,"C","F")))))))</f>
        <v/>
      </c>
      <c r="K165">
        <f>IF(COUNTIFS(Marks!$D$4:$D$503,B165,Marks!$A$4:$A$503,E165,Marks!$O$4:$O$503,"FAIL")&gt;0,"FAIL","PASS")</f>
        <v/>
      </c>
    </row>
    <row r="166">
      <c r="F166">
        <f>IF(B166="","",COUNTIFS(Marks!$D$4:$D$503,B166,Marks!$A$4:$A$503,E166))</f>
        <v/>
      </c>
      <c r="G166">
        <f>IF(B166="","",SUMIFS(Marks!$L$4:$L$503,Marks!$D$4:$D$503,B166,Marks!$A$4:$A$503,E166))</f>
        <v/>
      </c>
      <c r="H166">
        <f>IF(B166="","",SUMIFS(Marks!$H$4:$H$503,Marks!$D$4:$D$503,B166,Marks!$A$4:$A$503,E166))</f>
        <v/>
      </c>
      <c r="I166" s="9">
        <f>IFERROR(G166/H166*100,"")</f>
        <v/>
      </c>
      <c r="J166">
        <f>IF(I166="","",IF(I166&gt;=90,"A+",IF(I166&gt;=80,"A",IF(I166&gt;=70,"B+",IF(I166&gt;=60,"B",IF(I166&gt;=50,"C+",IF(I166&gt;=40,"C","F")))))))</f>
        <v/>
      </c>
      <c r="K166">
        <f>IF(COUNTIFS(Marks!$D$4:$D$503,B166,Marks!$A$4:$A$503,E166,Marks!$O$4:$O$503,"FAIL")&gt;0,"FAIL","PASS")</f>
        <v/>
      </c>
    </row>
    <row r="167">
      <c r="F167">
        <f>IF(B167="","",COUNTIFS(Marks!$D$4:$D$503,B167,Marks!$A$4:$A$503,E167))</f>
        <v/>
      </c>
      <c r="G167">
        <f>IF(B167="","",SUMIFS(Marks!$L$4:$L$503,Marks!$D$4:$D$503,B167,Marks!$A$4:$A$503,E167))</f>
        <v/>
      </c>
      <c r="H167">
        <f>IF(B167="","",SUMIFS(Marks!$H$4:$H$503,Marks!$D$4:$D$503,B167,Marks!$A$4:$A$503,E167))</f>
        <v/>
      </c>
      <c r="I167" s="9">
        <f>IFERROR(G167/H167*100,"")</f>
        <v/>
      </c>
      <c r="J167">
        <f>IF(I167="","",IF(I167&gt;=90,"A+",IF(I167&gt;=80,"A",IF(I167&gt;=70,"B+",IF(I167&gt;=60,"B",IF(I167&gt;=50,"C+",IF(I167&gt;=40,"C","F")))))))</f>
        <v/>
      </c>
      <c r="K167">
        <f>IF(COUNTIFS(Marks!$D$4:$D$503,B167,Marks!$A$4:$A$503,E167,Marks!$O$4:$O$503,"FAIL")&gt;0,"FAIL","PASS")</f>
        <v/>
      </c>
    </row>
    <row r="168">
      <c r="F168">
        <f>IF(B168="","",COUNTIFS(Marks!$D$4:$D$503,B168,Marks!$A$4:$A$503,E168))</f>
        <v/>
      </c>
      <c r="G168">
        <f>IF(B168="","",SUMIFS(Marks!$L$4:$L$503,Marks!$D$4:$D$503,B168,Marks!$A$4:$A$503,E168))</f>
        <v/>
      </c>
      <c r="H168">
        <f>IF(B168="","",SUMIFS(Marks!$H$4:$H$503,Marks!$D$4:$D$503,B168,Marks!$A$4:$A$503,E168))</f>
        <v/>
      </c>
      <c r="I168" s="9">
        <f>IFERROR(G168/H168*100,"")</f>
        <v/>
      </c>
      <c r="J168">
        <f>IF(I168="","",IF(I168&gt;=90,"A+",IF(I168&gt;=80,"A",IF(I168&gt;=70,"B+",IF(I168&gt;=60,"B",IF(I168&gt;=50,"C+",IF(I168&gt;=40,"C","F")))))))</f>
        <v/>
      </c>
      <c r="K168">
        <f>IF(COUNTIFS(Marks!$D$4:$D$503,B168,Marks!$A$4:$A$503,E168,Marks!$O$4:$O$503,"FAIL")&gt;0,"FAIL","PASS")</f>
        <v/>
      </c>
    </row>
    <row r="169">
      <c r="F169">
        <f>IF(B169="","",COUNTIFS(Marks!$D$4:$D$503,B169,Marks!$A$4:$A$503,E169))</f>
        <v/>
      </c>
      <c r="G169">
        <f>IF(B169="","",SUMIFS(Marks!$L$4:$L$503,Marks!$D$4:$D$503,B169,Marks!$A$4:$A$503,E169))</f>
        <v/>
      </c>
      <c r="H169">
        <f>IF(B169="","",SUMIFS(Marks!$H$4:$H$503,Marks!$D$4:$D$503,B169,Marks!$A$4:$A$503,E169))</f>
        <v/>
      </c>
      <c r="I169" s="9">
        <f>IFERROR(G169/H169*100,"")</f>
        <v/>
      </c>
      <c r="J169">
        <f>IF(I169="","",IF(I169&gt;=90,"A+",IF(I169&gt;=80,"A",IF(I169&gt;=70,"B+",IF(I169&gt;=60,"B",IF(I169&gt;=50,"C+",IF(I169&gt;=40,"C","F")))))))</f>
        <v/>
      </c>
      <c r="K169">
        <f>IF(COUNTIFS(Marks!$D$4:$D$503,B169,Marks!$A$4:$A$503,E169,Marks!$O$4:$O$503,"FAIL")&gt;0,"FAIL","PASS")</f>
        <v/>
      </c>
    </row>
    <row r="170">
      <c r="F170">
        <f>IF(B170="","",COUNTIFS(Marks!$D$4:$D$503,B170,Marks!$A$4:$A$503,E170))</f>
        <v/>
      </c>
      <c r="G170">
        <f>IF(B170="","",SUMIFS(Marks!$L$4:$L$503,Marks!$D$4:$D$503,B170,Marks!$A$4:$A$503,E170))</f>
        <v/>
      </c>
      <c r="H170">
        <f>IF(B170="","",SUMIFS(Marks!$H$4:$H$503,Marks!$D$4:$D$503,B170,Marks!$A$4:$A$503,E170))</f>
        <v/>
      </c>
      <c r="I170" s="9">
        <f>IFERROR(G170/H170*100,"")</f>
        <v/>
      </c>
      <c r="J170">
        <f>IF(I170="","",IF(I170&gt;=90,"A+",IF(I170&gt;=80,"A",IF(I170&gt;=70,"B+",IF(I170&gt;=60,"B",IF(I170&gt;=50,"C+",IF(I170&gt;=40,"C","F")))))))</f>
        <v/>
      </c>
      <c r="K170">
        <f>IF(COUNTIFS(Marks!$D$4:$D$503,B170,Marks!$A$4:$A$503,E170,Marks!$O$4:$O$503,"FAIL")&gt;0,"FAIL","PASS")</f>
        <v/>
      </c>
    </row>
    <row r="171">
      <c r="F171">
        <f>IF(B171="","",COUNTIFS(Marks!$D$4:$D$503,B171,Marks!$A$4:$A$503,E171))</f>
        <v/>
      </c>
      <c r="G171">
        <f>IF(B171="","",SUMIFS(Marks!$L$4:$L$503,Marks!$D$4:$D$503,B171,Marks!$A$4:$A$503,E171))</f>
        <v/>
      </c>
      <c r="H171">
        <f>IF(B171="","",SUMIFS(Marks!$H$4:$H$503,Marks!$D$4:$D$503,B171,Marks!$A$4:$A$503,E171))</f>
        <v/>
      </c>
      <c r="I171" s="9">
        <f>IFERROR(G171/H171*100,"")</f>
        <v/>
      </c>
      <c r="J171">
        <f>IF(I171="","",IF(I171&gt;=90,"A+",IF(I171&gt;=80,"A",IF(I171&gt;=70,"B+",IF(I171&gt;=60,"B",IF(I171&gt;=50,"C+",IF(I171&gt;=40,"C","F")))))))</f>
        <v/>
      </c>
      <c r="K171">
        <f>IF(COUNTIFS(Marks!$D$4:$D$503,B171,Marks!$A$4:$A$503,E171,Marks!$O$4:$O$503,"FAIL")&gt;0,"FAIL","PASS")</f>
        <v/>
      </c>
    </row>
    <row r="172">
      <c r="F172">
        <f>IF(B172="","",COUNTIFS(Marks!$D$4:$D$503,B172,Marks!$A$4:$A$503,E172))</f>
        <v/>
      </c>
      <c r="G172">
        <f>IF(B172="","",SUMIFS(Marks!$L$4:$L$503,Marks!$D$4:$D$503,B172,Marks!$A$4:$A$503,E172))</f>
        <v/>
      </c>
      <c r="H172">
        <f>IF(B172="","",SUMIFS(Marks!$H$4:$H$503,Marks!$D$4:$D$503,B172,Marks!$A$4:$A$503,E172))</f>
        <v/>
      </c>
      <c r="I172" s="9">
        <f>IFERROR(G172/H172*100,"")</f>
        <v/>
      </c>
      <c r="J172">
        <f>IF(I172="","",IF(I172&gt;=90,"A+",IF(I172&gt;=80,"A",IF(I172&gt;=70,"B+",IF(I172&gt;=60,"B",IF(I172&gt;=50,"C+",IF(I172&gt;=40,"C","F")))))))</f>
        <v/>
      </c>
      <c r="K172">
        <f>IF(COUNTIFS(Marks!$D$4:$D$503,B172,Marks!$A$4:$A$503,E172,Marks!$O$4:$O$503,"FAIL")&gt;0,"FAIL","PASS")</f>
        <v/>
      </c>
    </row>
    <row r="173">
      <c r="F173">
        <f>IF(B173="","",COUNTIFS(Marks!$D$4:$D$503,B173,Marks!$A$4:$A$503,E173))</f>
        <v/>
      </c>
      <c r="G173">
        <f>IF(B173="","",SUMIFS(Marks!$L$4:$L$503,Marks!$D$4:$D$503,B173,Marks!$A$4:$A$503,E173))</f>
        <v/>
      </c>
      <c r="H173">
        <f>IF(B173="","",SUMIFS(Marks!$H$4:$H$503,Marks!$D$4:$D$503,B173,Marks!$A$4:$A$503,E173))</f>
        <v/>
      </c>
      <c r="I173" s="9">
        <f>IFERROR(G173/H173*100,"")</f>
        <v/>
      </c>
      <c r="J173">
        <f>IF(I173="","",IF(I173&gt;=90,"A+",IF(I173&gt;=80,"A",IF(I173&gt;=70,"B+",IF(I173&gt;=60,"B",IF(I173&gt;=50,"C+",IF(I173&gt;=40,"C","F")))))))</f>
        <v/>
      </c>
      <c r="K173">
        <f>IF(COUNTIFS(Marks!$D$4:$D$503,B173,Marks!$A$4:$A$503,E173,Marks!$O$4:$O$503,"FAIL")&gt;0,"FAIL","PASS")</f>
        <v/>
      </c>
    </row>
    <row r="174">
      <c r="F174">
        <f>IF(B174="","",COUNTIFS(Marks!$D$4:$D$503,B174,Marks!$A$4:$A$503,E174))</f>
        <v/>
      </c>
      <c r="G174">
        <f>IF(B174="","",SUMIFS(Marks!$L$4:$L$503,Marks!$D$4:$D$503,B174,Marks!$A$4:$A$503,E174))</f>
        <v/>
      </c>
      <c r="H174">
        <f>IF(B174="","",SUMIFS(Marks!$H$4:$H$503,Marks!$D$4:$D$503,B174,Marks!$A$4:$A$503,E174))</f>
        <v/>
      </c>
      <c r="I174" s="9">
        <f>IFERROR(G174/H174*100,"")</f>
        <v/>
      </c>
      <c r="J174">
        <f>IF(I174="","",IF(I174&gt;=90,"A+",IF(I174&gt;=80,"A",IF(I174&gt;=70,"B+",IF(I174&gt;=60,"B",IF(I174&gt;=50,"C+",IF(I174&gt;=40,"C","F")))))))</f>
        <v/>
      </c>
      <c r="K174">
        <f>IF(COUNTIFS(Marks!$D$4:$D$503,B174,Marks!$A$4:$A$503,E174,Marks!$O$4:$O$503,"FAIL")&gt;0,"FAIL","PASS")</f>
        <v/>
      </c>
    </row>
    <row r="175">
      <c r="F175">
        <f>IF(B175="","",COUNTIFS(Marks!$D$4:$D$503,B175,Marks!$A$4:$A$503,E175))</f>
        <v/>
      </c>
      <c r="G175">
        <f>IF(B175="","",SUMIFS(Marks!$L$4:$L$503,Marks!$D$4:$D$503,B175,Marks!$A$4:$A$503,E175))</f>
        <v/>
      </c>
      <c r="H175">
        <f>IF(B175="","",SUMIFS(Marks!$H$4:$H$503,Marks!$D$4:$D$503,B175,Marks!$A$4:$A$503,E175))</f>
        <v/>
      </c>
      <c r="I175" s="9">
        <f>IFERROR(G175/H175*100,"")</f>
        <v/>
      </c>
      <c r="J175">
        <f>IF(I175="","",IF(I175&gt;=90,"A+",IF(I175&gt;=80,"A",IF(I175&gt;=70,"B+",IF(I175&gt;=60,"B",IF(I175&gt;=50,"C+",IF(I175&gt;=40,"C","F")))))))</f>
        <v/>
      </c>
      <c r="K175">
        <f>IF(COUNTIFS(Marks!$D$4:$D$503,B175,Marks!$A$4:$A$503,E175,Marks!$O$4:$O$503,"FAIL")&gt;0,"FAIL","PASS")</f>
        <v/>
      </c>
    </row>
    <row r="176">
      <c r="F176">
        <f>IF(B176="","",COUNTIFS(Marks!$D$4:$D$503,B176,Marks!$A$4:$A$503,E176))</f>
        <v/>
      </c>
      <c r="G176">
        <f>IF(B176="","",SUMIFS(Marks!$L$4:$L$503,Marks!$D$4:$D$503,B176,Marks!$A$4:$A$503,E176))</f>
        <v/>
      </c>
      <c r="H176">
        <f>IF(B176="","",SUMIFS(Marks!$H$4:$H$503,Marks!$D$4:$D$503,B176,Marks!$A$4:$A$503,E176))</f>
        <v/>
      </c>
      <c r="I176" s="9">
        <f>IFERROR(G176/H176*100,"")</f>
        <v/>
      </c>
      <c r="J176">
        <f>IF(I176="","",IF(I176&gt;=90,"A+",IF(I176&gt;=80,"A",IF(I176&gt;=70,"B+",IF(I176&gt;=60,"B",IF(I176&gt;=50,"C+",IF(I176&gt;=40,"C","F")))))))</f>
        <v/>
      </c>
      <c r="K176">
        <f>IF(COUNTIFS(Marks!$D$4:$D$503,B176,Marks!$A$4:$A$503,E176,Marks!$O$4:$O$503,"FAIL")&gt;0,"FAIL","PASS")</f>
        <v/>
      </c>
    </row>
    <row r="177">
      <c r="F177">
        <f>IF(B177="","",COUNTIFS(Marks!$D$4:$D$503,B177,Marks!$A$4:$A$503,E177))</f>
        <v/>
      </c>
      <c r="G177">
        <f>IF(B177="","",SUMIFS(Marks!$L$4:$L$503,Marks!$D$4:$D$503,B177,Marks!$A$4:$A$503,E177))</f>
        <v/>
      </c>
      <c r="H177">
        <f>IF(B177="","",SUMIFS(Marks!$H$4:$H$503,Marks!$D$4:$D$503,B177,Marks!$A$4:$A$503,E177))</f>
        <v/>
      </c>
      <c r="I177" s="9">
        <f>IFERROR(G177/H177*100,"")</f>
        <v/>
      </c>
      <c r="J177">
        <f>IF(I177="","",IF(I177&gt;=90,"A+",IF(I177&gt;=80,"A",IF(I177&gt;=70,"B+",IF(I177&gt;=60,"B",IF(I177&gt;=50,"C+",IF(I177&gt;=40,"C","F")))))))</f>
        <v/>
      </c>
      <c r="K177">
        <f>IF(COUNTIFS(Marks!$D$4:$D$503,B177,Marks!$A$4:$A$503,E177,Marks!$O$4:$O$503,"FAIL")&gt;0,"FAIL","PASS")</f>
        <v/>
      </c>
    </row>
    <row r="178">
      <c r="F178">
        <f>IF(B178="","",COUNTIFS(Marks!$D$4:$D$503,B178,Marks!$A$4:$A$503,E178))</f>
        <v/>
      </c>
      <c r="G178">
        <f>IF(B178="","",SUMIFS(Marks!$L$4:$L$503,Marks!$D$4:$D$503,B178,Marks!$A$4:$A$503,E178))</f>
        <v/>
      </c>
      <c r="H178">
        <f>IF(B178="","",SUMIFS(Marks!$H$4:$H$503,Marks!$D$4:$D$503,B178,Marks!$A$4:$A$503,E178))</f>
        <v/>
      </c>
      <c r="I178" s="9">
        <f>IFERROR(G178/H178*100,"")</f>
        <v/>
      </c>
      <c r="J178">
        <f>IF(I178="","",IF(I178&gt;=90,"A+",IF(I178&gt;=80,"A",IF(I178&gt;=70,"B+",IF(I178&gt;=60,"B",IF(I178&gt;=50,"C+",IF(I178&gt;=40,"C","F")))))))</f>
        <v/>
      </c>
      <c r="K178">
        <f>IF(COUNTIFS(Marks!$D$4:$D$503,B178,Marks!$A$4:$A$503,E178,Marks!$O$4:$O$503,"FAIL")&gt;0,"FAIL","PASS")</f>
        <v/>
      </c>
    </row>
    <row r="179">
      <c r="F179">
        <f>IF(B179="","",COUNTIFS(Marks!$D$4:$D$503,B179,Marks!$A$4:$A$503,E179))</f>
        <v/>
      </c>
      <c r="G179">
        <f>IF(B179="","",SUMIFS(Marks!$L$4:$L$503,Marks!$D$4:$D$503,B179,Marks!$A$4:$A$503,E179))</f>
        <v/>
      </c>
      <c r="H179">
        <f>IF(B179="","",SUMIFS(Marks!$H$4:$H$503,Marks!$D$4:$D$503,B179,Marks!$A$4:$A$503,E179))</f>
        <v/>
      </c>
      <c r="I179" s="9">
        <f>IFERROR(G179/H179*100,"")</f>
        <v/>
      </c>
      <c r="J179">
        <f>IF(I179="","",IF(I179&gt;=90,"A+",IF(I179&gt;=80,"A",IF(I179&gt;=70,"B+",IF(I179&gt;=60,"B",IF(I179&gt;=50,"C+",IF(I179&gt;=40,"C","F")))))))</f>
        <v/>
      </c>
      <c r="K179">
        <f>IF(COUNTIFS(Marks!$D$4:$D$503,B179,Marks!$A$4:$A$503,E179,Marks!$O$4:$O$503,"FAIL")&gt;0,"FAIL","PASS")</f>
        <v/>
      </c>
    </row>
    <row r="180">
      <c r="F180">
        <f>IF(B180="","",COUNTIFS(Marks!$D$4:$D$503,B180,Marks!$A$4:$A$503,E180))</f>
        <v/>
      </c>
      <c r="G180">
        <f>IF(B180="","",SUMIFS(Marks!$L$4:$L$503,Marks!$D$4:$D$503,B180,Marks!$A$4:$A$503,E180))</f>
        <v/>
      </c>
      <c r="H180">
        <f>IF(B180="","",SUMIFS(Marks!$H$4:$H$503,Marks!$D$4:$D$503,B180,Marks!$A$4:$A$503,E180))</f>
        <v/>
      </c>
      <c r="I180" s="9">
        <f>IFERROR(G180/H180*100,"")</f>
        <v/>
      </c>
      <c r="J180">
        <f>IF(I180="","",IF(I180&gt;=90,"A+",IF(I180&gt;=80,"A",IF(I180&gt;=70,"B+",IF(I180&gt;=60,"B",IF(I180&gt;=50,"C+",IF(I180&gt;=40,"C","F")))))))</f>
        <v/>
      </c>
      <c r="K180">
        <f>IF(COUNTIFS(Marks!$D$4:$D$503,B180,Marks!$A$4:$A$503,E180,Marks!$O$4:$O$503,"FAIL")&gt;0,"FAIL","PASS")</f>
        <v/>
      </c>
    </row>
    <row r="181">
      <c r="F181">
        <f>IF(B181="","",COUNTIFS(Marks!$D$4:$D$503,B181,Marks!$A$4:$A$503,E181))</f>
        <v/>
      </c>
      <c r="G181">
        <f>IF(B181="","",SUMIFS(Marks!$L$4:$L$503,Marks!$D$4:$D$503,B181,Marks!$A$4:$A$503,E181))</f>
        <v/>
      </c>
      <c r="H181">
        <f>IF(B181="","",SUMIFS(Marks!$H$4:$H$503,Marks!$D$4:$D$503,B181,Marks!$A$4:$A$503,E181))</f>
        <v/>
      </c>
      <c r="I181" s="9">
        <f>IFERROR(G181/H181*100,"")</f>
        <v/>
      </c>
      <c r="J181">
        <f>IF(I181="","",IF(I181&gt;=90,"A+",IF(I181&gt;=80,"A",IF(I181&gt;=70,"B+",IF(I181&gt;=60,"B",IF(I181&gt;=50,"C+",IF(I181&gt;=40,"C","F")))))))</f>
        <v/>
      </c>
      <c r="K181">
        <f>IF(COUNTIFS(Marks!$D$4:$D$503,B181,Marks!$A$4:$A$503,E181,Marks!$O$4:$O$503,"FAIL")&gt;0,"FAIL","PASS")</f>
        <v/>
      </c>
    </row>
    <row r="182">
      <c r="F182">
        <f>IF(B182="","",COUNTIFS(Marks!$D$4:$D$503,B182,Marks!$A$4:$A$503,E182))</f>
        <v/>
      </c>
      <c r="G182">
        <f>IF(B182="","",SUMIFS(Marks!$L$4:$L$503,Marks!$D$4:$D$503,B182,Marks!$A$4:$A$503,E182))</f>
        <v/>
      </c>
      <c r="H182">
        <f>IF(B182="","",SUMIFS(Marks!$H$4:$H$503,Marks!$D$4:$D$503,B182,Marks!$A$4:$A$503,E182))</f>
        <v/>
      </c>
      <c r="I182" s="9">
        <f>IFERROR(G182/H182*100,"")</f>
        <v/>
      </c>
      <c r="J182">
        <f>IF(I182="","",IF(I182&gt;=90,"A+",IF(I182&gt;=80,"A",IF(I182&gt;=70,"B+",IF(I182&gt;=60,"B",IF(I182&gt;=50,"C+",IF(I182&gt;=40,"C","F")))))))</f>
        <v/>
      </c>
      <c r="K182">
        <f>IF(COUNTIFS(Marks!$D$4:$D$503,B182,Marks!$A$4:$A$503,E182,Marks!$O$4:$O$503,"FAIL")&gt;0,"FAIL","PASS")</f>
        <v/>
      </c>
    </row>
    <row r="183">
      <c r="F183">
        <f>IF(B183="","",COUNTIFS(Marks!$D$4:$D$503,B183,Marks!$A$4:$A$503,E183))</f>
        <v/>
      </c>
      <c r="G183">
        <f>IF(B183="","",SUMIFS(Marks!$L$4:$L$503,Marks!$D$4:$D$503,B183,Marks!$A$4:$A$503,E183))</f>
        <v/>
      </c>
      <c r="H183">
        <f>IF(B183="","",SUMIFS(Marks!$H$4:$H$503,Marks!$D$4:$D$503,B183,Marks!$A$4:$A$503,E183))</f>
        <v/>
      </c>
      <c r="I183" s="9">
        <f>IFERROR(G183/H183*100,"")</f>
        <v/>
      </c>
      <c r="J183">
        <f>IF(I183="","",IF(I183&gt;=90,"A+",IF(I183&gt;=80,"A",IF(I183&gt;=70,"B+",IF(I183&gt;=60,"B",IF(I183&gt;=50,"C+",IF(I183&gt;=40,"C","F")))))))</f>
        <v/>
      </c>
      <c r="K183">
        <f>IF(COUNTIFS(Marks!$D$4:$D$503,B183,Marks!$A$4:$A$503,E183,Marks!$O$4:$O$503,"FAIL")&gt;0,"FAIL","PASS")</f>
        <v/>
      </c>
    </row>
    <row r="184">
      <c r="F184">
        <f>IF(B184="","",COUNTIFS(Marks!$D$4:$D$503,B184,Marks!$A$4:$A$503,E184))</f>
        <v/>
      </c>
      <c r="G184">
        <f>IF(B184="","",SUMIFS(Marks!$L$4:$L$503,Marks!$D$4:$D$503,B184,Marks!$A$4:$A$503,E184))</f>
        <v/>
      </c>
      <c r="H184">
        <f>IF(B184="","",SUMIFS(Marks!$H$4:$H$503,Marks!$D$4:$D$503,B184,Marks!$A$4:$A$503,E184))</f>
        <v/>
      </c>
      <c r="I184" s="9">
        <f>IFERROR(G184/H184*100,"")</f>
        <v/>
      </c>
      <c r="J184">
        <f>IF(I184="","",IF(I184&gt;=90,"A+",IF(I184&gt;=80,"A",IF(I184&gt;=70,"B+",IF(I184&gt;=60,"B",IF(I184&gt;=50,"C+",IF(I184&gt;=40,"C","F")))))))</f>
        <v/>
      </c>
      <c r="K184">
        <f>IF(COUNTIFS(Marks!$D$4:$D$503,B184,Marks!$A$4:$A$503,E184,Marks!$O$4:$O$503,"FAIL")&gt;0,"FAIL","PASS")</f>
        <v/>
      </c>
    </row>
    <row r="185">
      <c r="F185">
        <f>IF(B185="","",COUNTIFS(Marks!$D$4:$D$503,B185,Marks!$A$4:$A$503,E185))</f>
        <v/>
      </c>
      <c r="G185">
        <f>IF(B185="","",SUMIFS(Marks!$L$4:$L$503,Marks!$D$4:$D$503,B185,Marks!$A$4:$A$503,E185))</f>
        <v/>
      </c>
      <c r="H185">
        <f>IF(B185="","",SUMIFS(Marks!$H$4:$H$503,Marks!$D$4:$D$503,B185,Marks!$A$4:$A$503,E185))</f>
        <v/>
      </c>
      <c r="I185" s="9">
        <f>IFERROR(G185/H185*100,"")</f>
        <v/>
      </c>
      <c r="J185">
        <f>IF(I185="","",IF(I185&gt;=90,"A+",IF(I185&gt;=80,"A",IF(I185&gt;=70,"B+",IF(I185&gt;=60,"B",IF(I185&gt;=50,"C+",IF(I185&gt;=40,"C","F")))))))</f>
        <v/>
      </c>
      <c r="K185">
        <f>IF(COUNTIFS(Marks!$D$4:$D$503,B185,Marks!$A$4:$A$503,E185,Marks!$O$4:$O$503,"FAIL")&gt;0,"FAIL","PASS")</f>
        <v/>
      </c>
    </row>
    <row r="186">
      <c r="F186">
        <f>IF(B186="","",COUNTIFS(Marks!$D$4:$D$503,B186,Marks!$A$4:$A$503,E186))</f>
        <v/>
      </c>
      <c r="G186">
        <f>IF(B186="","",SUMIFS(Marks!$L$4:$L$503,Marks!$D$4:$D$503,B186,Marks!$A$4:$A$503,E186))</f>
        <v/>
      </c>
      <c r="H186">
        <f>IF(B186="","",SUMIFS(Marks!$H$4:$H$503,Marks!$D$4:$D$503,B186,Marks!$A$4:$A$503,E186))</f>
        <v/>
      </c>
      <c r="I186" s="9">
        <f>IFERROR(G186/H186*100,"")</f>
        <v/>
      </c>
      <c r="J186">
        <f>IF(I186="","",IF(I186&gt;=90,"A+",IF(I186&gt;=80,"A",IF(I186&gt;=70,"B+",IF(I186&gt;=60,"B",IF(I186&gt;=50,"C+",IF(I186&gt;=40,"C","F")))))))</f>
        <v/>
      </c>
      <c r="K186">
        <f>IF(COUNTIFS(Marks!$D$4:$D$503,B186,Marks!$A$4:$A$503,E186,Marks!$O$4:$O$503,"FAIL")&gt;0,"FAIL","PASS")</f>
        <v/>
      </c>
    </row>
    <row r="187">
      <c r="F187">
        <f>IF(B187="","",COUNTIFS(Marks!$D$4:$D$503,B187,Marks!$A$4:$A$503,E187))</f>
        <v/>
      </c>
      <c r="G187">
        <f>IF(B187="","",SUMIFS(Marks!$L$4:$L$503,Marks!$D$4:$D$503,B187,Marks!$A$4:$A$503,E187))</f>
        <v/>
      </c>
      <c r="H187">
        <f>IF(B187="","",SUMIFS(Marks!$H$4:$H$503,Marks!$D$4:$D$503,B187,Marks!$A$4:$A$503,E187))</f>
        <v/>
      </c>
      <c r="I187" s="9">
        <f>IFERROR(G187/H187*100,"")</f>
        <v/>
      </c>
      <c r="J187">
        <f>IF(I187="","",IF(I187&gt;=90,"A+",IF(I187&gt;=80,"A",IF(I187&gt;=70,"B+",IF(I187&gt;=60,"B",IF(I187&gt;=50,"C+",IF(I187&gt;=40,"C","F")))))))</f>
        <v/>
      </c>
      <c r="K187">
        <f>IF(COUNTIFS(Marks!$D$4:$D$503,B187,Marks!$A$4:$A$503,E187,Marks!$O$4:$O$503,"FAIL")&gt;0,"FAIL","PASS")</f>
        <v/>
      </c>
    </row>
    <row r="188">
      <c r="F188">
        <f>IF(B188="","",COUNTIFS(Marks!$D$4:$D$503,B188,Marks!$A$4:$A$503,E188))</f>
        <v/>
      </c>
      <c r="G188">
        <f>IF(B188="","",SUMIFS(Marks!$L$4:$L$503,Marks!$D$4:$D$503,B188,Marks!$A$4:$A$503,E188))</f>
        <v/>
      </c>
      <c r="H188">
        <f>IF(B188="","",SUMIFS(Marks!$H$4:$H$503,Marks!$D$4:$D$503,B188,Marks!$A$4:$A$503,E188))</f>
        <v/>
      </c>
      <c r="I188" s="9">
        <f>IFERROR(G188/H188*100,"")</f>
        <v/>
      </c>
      <c r="J188">
        <f>IF(I188="","",IF(I188&gt;=90,"A+",IF(I188&gt;=80,"A",IF(I188&gt;=70,"B+",IF(I188&gt;=60,"B",IF(I188&gt;=50,"C+",IF(I188&gt;=40,"C","F")))))))</f>
        <v/>
      </c>
      <c r="K188">
        <f>IF(COUNTIFS(Marks!$D$4:$D$503,B188,Marks!$A$4:$A$503,E188,Marks!$O$4:$O$503,"FAIL")&gt;0,"FAIL","PASS")</f>
        <v/>
      </c>
    </row>
    <row r="189">
      <c r="F189">
        <f>IF(B189="","",COUNTIFS(Marks!$D$4:$D$503,B189,Marks!$A$4:$A$503,E189))</f>
        <v/>
      </c>
      <c r="G189">
        <f>IF(B189="","",SUMIFS(Marks!$L$4:$L$503,Marks!$D$4:$D$503,B189,Marks!$A$4:$A$503,E189))</f>
        <v/>
      </c>
      <c r="H189">
        <f>IF(B189="","",SUMIFS(Marks!$H$4:$H$503,Marks!$D$4:$D$503,B189,Marks!$A$4:$A$503,E189))</f>
        <v/>
      </c>
      <c r="I189" s="9">
        <f>IFERROR(G189/H189*100,"")</f>
        <v/>
      </c>
      <c r="J189">
        <f>IF(I189="","",IF(I189&gt;=90,"A+",IF(I189&gt;=80,"A",IF(I189&gt;=70,"B+",IF(I189&gt;=60,"B",IF(I189&gt;=50,"C+",IF(I189&gt;=40,"C","F")))))))</f>
        <v/>
      </c>
      <c r="K189">
        <f>IF(COUNTIFS(Marks!$D$4:$D$503,B189,Marks!$A$4:$A$503,E189,Marks!$O$4:$O$503,"FAIL")&gt;0,"FAIL","PASS")</f>
        <v/>
      </c>
    </row>
    <row r="190">
      <c r="F190">
        <f>IF(B190="","",COUNTIFS(Marks!$D$4:$D$503,B190,Marks!$A$4:$A$503,E190))</f>
        <v/>
      </c>
      <c r="G190">
        <f>IF(B190="","",SUMIFS(Marks!$L$4:$L$503,Marks!$D$4:$D$503,B190,Marks!$A$4:$A$503,E190))</f>
        <v/>
      </c>
      <c r="H190">
        <f>IF(B190="","",SUMIFS(Marks!$H$4:$H$503,Marks!$D$4:$D$503,B190,Marks!$A$4:$A$503,E190))</f>
        <v/>
      </c>
      <c r="I190" s="9">
        <f>IFERROR(G190/H190*100,"")</f>
        <v/>
      </c>
      <c r="J190">
        <f>IF(I190="","",IF(I190&gt;=90,"A+",IF(I190&gt;=80,"A",IF(I190&gt;=70,"B+",IF(I190&gt;=60,"B",IF(I190&gt;=50,"C+",IF(I190&gt;=40,"C","F")))))))</f>
        <v/>
      </c>
      <c r="K190">
        <f>IF(COUNTIFS(Marks!$D$4:$D$503,B190,Marks!$A$4:$A$503,E190,Marks!$O$4:$O$503,"FAIL")&gt;0,"FAIL","PASS")</f>
        <v/>
      </c>
    </row>
    <row r="191">
      <c r="F191">
        <f>IF(B191="","",COUNTIFS(Marks!$D$4:$D$503,B191,Marks!$A$4:$A$503,E191))</f>
        <v/>
      </c>
      <c r="G191">
        <f>IF(B191="","",SUMIFS(Marks!$L$4:$L$503,Marks!$D$4:$D$503,B191,Marks!$A$4:$A$503,E191))</f>
        <v/>
      </c>
      <c r="H191">
        <f>IF(B191="","",SUMIFS(Marks!$H$4:$H$503,Marks!$D$4:$D$503,B191,Marks!$A$4:$A$503,E191))</f>
        <v/>
      </c>
      <c r="I191" s="9">
        <f>IFERROR(G191/H191*100,"")</f>
        <v/>
      </c>
      <c r="J191">
        <f>IF(I191="","",IF(I191&gt;=90,"A+",IF(I191&gt;=80,"A",IF(I191&gt;=70,"B+",IF(I191&gt;=60,"B",IF(I191&gt;=50,"C+",IF(I191&gt;=40,"C","F")))))))</f>
        <v/>
      </c>
      <c r="K191">
        <f>IF(COUNTIFS(Marks!$D$4:$D$503,B191,Marks!$A$4:$A$503,E191,Marks!$O$4:$O$503,"FAIL")&gt;0,"FAIL","PASS")</f>
        <v/>
      </c>
    </row>
    <row r="192">
      <c r="F192">
        <f>IF(B192="","",COUNTIFS(Marks!$D$4:$D$503,B192,Marks!$A$4:$A$503,E192))</f>
        <v/>
      </c>
      <c r="G192">
        <f>IF(B192="","",SUMIFS(Marks!$L$4:$L$503,Marks!$D$4:$D$503,B192,Marks!$A$4:$A$503,E192))</f>
        <v/>
      </c>
      <c r="H192">
        <f>IF(B192="","",SUMIFS(Marks!$H$4:$H$503,Marks!$D$4:$D$503,B192,Marks!$A$4:$A$503,E192))</f>
        <v/>
      </c>
      <c r="I192" s="9">
        <f>IFERROR(G192/H192*100,"")</f>
        <v/>
      </c>
      <c r="J192">
        <f>IF(I192="","",IF(I192&gt;=90,"A+",IF(I192&gt;=80,"A",IF(I192&gt;=70,"B+",IF(I192&gt;=60,"B",IF(I192&gt;=50,"C+",IF(I192&gt;=40,"C","F")))))))</f>
        <v/>
      </c>
      <c r="K192">
        <f>IF(COUNTIFS(Marks!$D$4:$D$503,B192,Marks!$A$4:$A$503,E192,Marks!$O$4:$O$503,"FAIL")&gt;0,"FAIL","PASS")</f>
        <v/>
      </c>
    </row>
    <row r="193">
      <c r="F193">
        <f>IF(B193="","",COUNTIFS(Marks!$D$4:$D$503,B193,Marks!$A$4:$A$503,E193))</f>
        <v/>
      </c>
      <c r="G193">
        <f>IF(B193="","",SUMIFS(Marks!$L$4:$L$503,Marks!$D$4:$D$503,B193,Marks!$A$4:$A$503,E193))</f>
        <v/>
      </c>
      <c r="H193">
        <f>IF(B193="","",SUMIFS(Marks!$H$4:$H$503,Marks!$D$4:$D$503,B193,Marks!$A$4:$A$503,E193))</f>
        <v/>
      </c>
      <c r="I193" s="9">
        <f>IFERROR(G193/H193*100,"")</f>
        <v/>
      </c>
      <c r="J193">
        <f>IF(I193="","",IF(I193&gt;=90,"A+",IF(I193&gt;=80,"A",IF(I193&gt;=70,"B+",IF(I193&gt;=60,"B",IF(I193&gt;=50,"C+",IF(I193&gt;=40,"C","F")))))))</f>
        <v/>
      </c>
      <c r="K193">
        <f>IF(COUNTIFS(Marks!$D$4:$D$503,B193,Marks!$A$4:$A$503,E193,Marks!$O$4:$O$503,"FAIL")&gt;0,"FAIL","PASS")</f>
        <v/>
      </c>
    </row>
    <row r="194">
      <c r="F194">
        <f>IF(B194="","",COUNTIFS(Marks!$D$4:$D$503,B194,Marks!$A$4:$A$503,E194))</f>
        <v/>
      </c>
      <c r="G194">
        <f>IF(B194="","",SUMIFS(Marks!$L$4:$L$503,Marks!$D$4:$D$503,B194,Marks!$A$4:$A$503,E194))</f>
        <v/>
      </c>
      <c r="H194">
        <f>IF(B194="","",SUMIFS(Marks!$H$4:$H$503,Marks!$D$4:$D$503,B194,Marks!$A$4:$A$503,E194))</f>
        <v/>
      </c>
      <c r="I194" s="9">
        <f>IFERROR(G194/H194*100,"")</f>
        <v/>
      </c>
      <c r="J194">
        <f>IF(I194="","",IF(I194&gt;=90,"A+",IF(I194&gt;=80,"A",IF(I194&gt;=70,"B+",IF(I194&gt;=60,"B",IF(I194&gt;=50,"C+",IF(I194&gt;=40,"C","F")))))))</f>
        <v/>
      </c>
      <c r="K194">
        <f>IF(COUNTIFS(Marks!$D$4:$D$503,B194,Marks!$A$4:$A$503,E194,Marks!$O$4:$O$503,"FAIL")&gt;0,"FAIL","PASS")</f>
        <v/>
      </c>
    </row>
    <row r="195">
      <c r="F195">
        <f>IF(B195="","",COUNTIFS(Marks!$D$4:$D$503,B195,Marks!$A$4:$A$503,E195))</f>
        <v/>
      </c>
      <c r="G195">
        <f>IF(B195="","",SUMIFS(Marks!$L$4:$L$503,Marks!$D$4:$D$503,B195,Marks!$A$4:$A$503,E195))</f>
        <v/>
      </c>
      <c r="H195">
        <f>IF(B195="","",SUMIFS(Marks!$H$4:$H$503,Marks!$D$4:$D$503,B195,Marks!$A$4:$A$503,E195))</f>
        <v/>
      </c>
      <c r="I195" s="9">
        <f>IFERROR(G195/H195*100,"")</f>
        <v/>
      </c>
      <c r="J195">
        <f>IF(I195="","",IF(I195&gt;=90,"A+",IF(I195&gt;=80,"A",IF(I195&gt;=70,"B+",IF(I195&gt;=60,"B",IF(I195&gt;=50,"C+",IF(I195&gt;=40,"C","F")))))))</f>
        <v/>
      </c>
      <c r="K195">
        <f>IF(COUNTIFS(Marks!$D$4:$D$503,B195,Marks!$A$4:$A$503,E195,Marks!$O$4:$O$503,"FAIL")&gt;0,"FAIL","PASS")</f>
        <v/>
      </c>
    </row>
    <row r="196">
      <c r="F196">
        <f>IF(B196="","",COUNTIFS(Marks!$D$4:$D$503,B196,Marks!$A$4:$A$503,E196))</f>
        <v/>
      </c>
      <c r="G196">
        <f>IF(B196="","",SUMIFS(Marks!$L$4:$L$503,Marks!$D$4:$D$503,B196,Marks!$A$4:$A$503,E196))</f>
        <v/>
      </c>
      <c r="H196">
        <f>IF(B196="","",SUMIFS(Marks!$H$4:$H$503,Marks!$D$4:$D$503,B196,Marks!$A$4:$A$503,E196))</f>
        <v/>
      </c>
      <c r="I196" s="9">
        <f>IFERROR(G196/H196*100,"")</f>
        <v/>
      </c>
      <c r="J196">
        <f>IF(I196="","",IF(I196&gt;=90,"A+",IF(I196&gt;=80,"A",IF(I196&gt;=70,"B+",IF(I196&gt;=60,"B",IF(I196&gt;=50,"C+",IF(I196&gt;=40,"C","F")))))))</f>
        <v/>
      </c>
      <c r="K196">
        <f>IF(COUNTIFS(Marks!$D$4:$D$503,B196,Marks!$A$4:$A$503,E196,Marks!$O$4:$O$503,"FAIL")&gt;0,"FAIL","PASS")</f>
        <v/>
      </c>
    </row>
    <row r="197">
      <c r="F197">
        <f>IF(B197="","",COUNTIFS(Marks!$D$4:$D$503,B197,Marks!$A$4:$A$503,E197))</f>
        <v/>
      </c>
      <c r="G197">
        <f>IF(B197="","",SUMIFS(Marks!$L$4:$L$503,Marks!$D$4:$D$503,B197,Marks!$A$4:$A$503,E197))</f>
        <v/>
      </c>
      <c r="H197">
        <f>IF(B197="","",SUMIFS(Marks!$H$4:$H$503,Marks!$D$4:$D$503,B197,Marks!$A$4:$A$503,E197))</f>
        <v/>
      </c>
      <c r="I197" s="9">
        <f>IFERROR(G197/H197*100,"")</f>
        <v/>
      </c>
      <c r="J197">
        <f>IF(I197="","",IF(I197&gt;=90,"A+",IF(I197&gt;=80,"A",IF(I197&gt;=70,"B+",IF(I197&gt;=60,"B",IF(I197&gt;=50,"C+",IF(I197&gt;=40,"C","F")))))))</f>
        <v/>
      </c>
      <c r="K197">
        <f>IF(COUNTIFS(Marks!$D$4:$D$503,B197,Marks!$A$4:$A$503,E197,Marks!$O$4:$O$503,"FAIL")&gt;0,"FAIL","PASS")</f>
        <v/>
      </c>
    </row>
    <row r="198">
      <c r="F198">
        <f>IF(B198="","",COUNTIFS(Marks!$D$4:$D$503,B198,Marks!$A$4:$A$503,E198))</f>
        <v/>
      </c>
      <c r="G198">
        <f>IF(B198="","",SUMIFS(Marks!$L$4:$L$503,Marks!$D$4:$D$503,B198,Marks!$A$4:$A$503,E198))</f>
        <v/>
      </c>
      <c r="H198">
        <f>IF(B198="","",SUMIFS(Marks!$H$4:$H$503,Marks!$D$4:$D$503,B198,Marks!$A$4:$A$503,E198))</f>
        <v/>
      </c>
      <c r="I198" s="9">
        <f>IFERROR(G198/H198*100,"")</f>
        <v/>
      </c>
      <c r="J198">
        <f>IF(I198="","",IF(I198&gt;=90,"A+",IF(I198&gt;=80,"A",IF(I198&gt;=70,"B+",IF(I198&gt;=60,"B",IF(I198&gt;=50,"C+",IF(I198&gt;=40,"C","F")))))))</f>
        <v/>
      </c>
      <c r="K198">
        <f>IF(COUNTIFS(Marks!$D$4:$D$503,B198,Marks!$A$4:$A$503,E198,Marks!$O$4:$O$503,"FAIL")&gt;0,"FAIL","PASS")</f>
        <v/>
      </c>
    </row>
    <row r="199">
      <c r="F199">
        <f>IF(B199="","",COUNTIFS(Marks!$D$4:$D$503,B199,Marks!$A$4:$A$503,E199))</f>
        <v/>
      </c>
      <c r="G199">
        <f>IF(B199="","",SUMIFS(Marks!$L$4:$L$503,Marks!$D$4:$D$503,B199,Marks!$A$4:$A$503,E199))</f>
        <v/>
      </c>
      <c r="H199">
        <f>IF(B199="","",SUMIFS(Marks!$H$4:$H$503,Marks!$D$4:$D$503,B199,Marks!$A$4:$A$503,E199))</f>
        <v/>
      </c>
      <c r="I199" s="9">
        <f>IFERROR(G199/H199*100,"")</f>
        <v/>
      </c>
      <c r="J199">
        <f>IF(I199="","",IF(I199&gt;=90,"A+",IF(I199&gt;=80,"A",IF(I199&gt;=70,"B+",IF(I199&gt;=60,"B",IF(I199&gt;=50,"C+",IF(I199&gt;=40,"C","F")))))))</f>
        <v/>
      </c>
      <c r="K199">
        <f>IF(COUNTIFS(Marks!$D$4:$D$503,B199,Marks!$A$4:$A$503,E199,Marks!$O$4:$O$503,"FAIL")&gt;0,"FAIL","PASS")</f>
        <v/>
      </c>
    </row>
    <row r="200">
      <c r="F200">
        <f>IF(B200="","",COUNTIFS(Marks!$D$4:$D$503,B200,Marks!$A$4:$A$503,E200))</f>
        <v/>
      </c>
      <c r="G200">
        <f>IF(B200="","",SUMIFS(Marks!$L$4:$L$503,Marks!$D$4:$D$503,B200,Marks!$A$4:$A$503,E200))</f>
        <v/>
      </c>
      <c r="H200">
        <f>IF(B200="","",SUMIFS(Marks!$H$4:$H$503,Marks!$D$4:$D$503,B200,Marks!$A$4:$A$503,E200))</f>
        <v/>
      </c>
      <c r="I200" s="9">
        <f>IFERROR(G200/H200*100,"")</f>
        <v/>
      </c>
      <c r="J200">
        <f>IF(I200="","",IF(I200&gt;=90,"A+",IF(I200&gt;=80,"A",IF(I200&gt;=70,"B+",IF(I200&gt;=60,"B",IF(I200&gt;=50,"C+",IF(I200&gt;=40,"C","F")))))))</f>
        <v/>
      </c>
      <c r="K200">
        <f>IF(COUNTIFS(Marks!$D$4:$D$503,B200,Marks!$A$4:$A$503,E200,Marks!$O$4:$O$503,"FAIL")&gt;0,"FAIL","PASS")</f>
        <v/>
      </c>
    </row>
    <row r="201">
      <c r="F201">
        <f>IF(B201="","",COUNTIFS(Marks!$D$4:$D$503,B201,Marks!$A$4:$A$503,E201))</f>
        <v/>
      </c>
      <c r="G201">
        <f>IF(B201="","",SUMIFS(Marks!$L$4:$L$503,Marks!$D$4:$D$503,B201,Marks!$A$4:$A$503,E201))</f>
        <v/>
      </c>
      <c r="H201">
        <f>IF(B201="","",SUMIFS(Marks!$H$4:$H$503,Marks!$D$4:$D$503,B201,Marks!$A$4:$A$503,E201))</f>
        <v/>
      </c>
      <c r="I201" s="9">
        <f>IFERROR(G201/H201*100,"")</f>
        <v/>
      </c>
      <c r="J201">
        <f>IF(I201="","",IF(I201&gt;=90,"A+",IF(I201&gt;=80,"A",IF(I201&gt;=70,"B+",IF(I201&gt;=60,"B",IF(I201&gt;=50,"C+",IF(I201&gt;=40,"C","F")))))))</f>
        <v/>
      </c>
      <c r="K201">
        <f>IF(COUNTIFS(Marks!$D$4:$D$503,B201,Marks!$A$4:$A$503,E201,Marks!$O$4:$O$503,"FAIL")&gt;0,"FAIL","PASS")</f>
        <v/>
      </c>
    </row>
    <row r="202">
      <c r="F202">
        <f>IF(B202="","",COUNTIFS(Marks!$D$4:$D$503,B202,Marks!$A$4:$A$503,E202))</f>
        <v/>
      </c>
      <c r="G202">
        <f>IF(B202="","",SUMIFS(Marks!$L$4:$L$503,Marks!$D$4:$D$503,B202,Marks!$A$4:$A$503,E202))</f>
        <v/>
      </c>
      <c r="H202">
        <f>IF(B202="","",SUMIFS(Marks!$H$4:$H$503,Marks!$D$4:$D$503,B202,Marks!$A$4:$A$503,E202))</f>
        <v/>
      </c>
      <c r="I202" s="9">
        <f>IFERROR(G202/H202*100,"")</f>
        <v/>
      </c>
      <c r="J202">
        <f>IF(I202="","",IF(I202&gt;=90,"A+",IF(I202&gt;=80,"A",IF(I202&gt;=70,"B+",IF(I202&gt;=60,"B",IF(I202&gt;=50,"C+",IF(I202&gt;=40,"C","F")))))))</f>
        <v/>
      </c>
      <c r="K202">
        <f>IF(COUNTIFS(Marks!$D$4:$D$503,B202,Marks!$A$4:$A$503,E202,Marks!$O$4:$O$503,"FAIL")&gt;0,"FAIL","PASS")</f>
        <v/>
      </c>
    </row>
    <row r="203">
      <c r="F203">
        <f>IF(B203="","",COUNTIFS(Marks!$D$4:$D$503,B203,Marks!$A$4:$A$503,E203))</f>
        <v/>
      </c>
      <c r="G203">
        <f>IF(B203="","",SUMIFS(Marks!$L$4:$L$503,Marks!$D$4:$D$503,B203,Marks!$A$4:$A$503,E203))</f>
        <v/>
      </c>
      <c r="H203">
        <f>IF(B203="","",SUMIFS(Marks!$H$4:$H$503,Marks!$D$4:$D$503,B203,Marks!$A$4:$A$503,E203))</f>
        <v/>
      </c>
      <c r="I203" s="9">
        <f>IFERROR(G203/H203*100,"")</f>
        <v/>
      </c>
      <c r="J203">
        <f>IF(I203="","",IF(I203&gt;=90,"A+",IF(I203&gt;=80,"A",IF(I203&gt;=70,"B+",IF(I203&gt;=60,"B",IF(I203&gt;=50,"C+",IF(I203&gt;=40,"C","F")))))))</f>
        <v/>
      </c>
      <c r="K203">
        <f>IF(COUNTIFS(Marks!$D$4:$D$503,B203,Marks!$A$4:$A$503,E203,Marks!$O$4:$O$503,"FAIL")&gt;0,"FAIL","PASS")</f>
        <v/>
      </c>
    </row>
  </sheetData>
  <mergeCells count="1">
    <mergeCell ref="A1:L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2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24" customWidth="1" min="10" max="10"/>
  </cols>
  <sheetData>
    <row r="1" ht="30" customHeight="1">
      <c r="A1" s="1" t="inlineStr">
        <is>
          <t>Student Attendance</t>
        </is>
      </c>
    </row>
    <row r="3">
      <c r="A3" s="7" t="inlineStr">
        <is>
          <t>Date</t>
        </is>
      </c>
      <c r="B3" s="7" t="inlineStr">
        <is>
          <t>Student ID</t>
        </is>
      </c>
      <c r="C3" s="7" t="inlineStr">
        <is>
          <t>Student Name</t>
        </is>
      </c>
      <c r="D3" s="7" t="inlineStr">
        <is>
          <t>Class</t>
        </is>
      </c>
      <c r="E3" s="7" t="inlineStr">
        <is>
          <t>Section</t>
        </is>
      </c>
      <c r="F3" s="7" t="inlineStr">
        <is>
          <t>Status</t>
        </is>
      </c>
      <c r="G3" s="7" t="inlineStr">
        <is>
          <t>In Time</t>
        </is>
      </c>
      <c r="H3" s="7" t="inlineStr">
        <is>
          <t>Out Time</t>
        </is>
      </c>
      <c r="I3" s="7" t="inlineStr">
        <is>
          <t>Hours</t>
        </is>
      </c>
      <c r="J3" s="7" t="inlineStr">
        <is>
          <t>Remarks</t>
        </is>
      </c>
    </row>
    <row r="4">
      <c r="A4" s="8" t="n"/>
      <c r="G4" s="10" t="n"/>
      <c r="H4" s="10" t="n"/>
      <c r="I4" s="9">
        <f>IF(OR(G4="",H4=""),"",((H4-G4)*24))</f>
        <v/>
      </c>
    </row>
    <row r="5">
      <c r="A5" s="8" t="n"/>
      <c r="G5" s="10" t="n"/>
      <c r="H5" s="10" t="n"/>
      <c r="I5" s="9">
        <f>IF(OR(G5="",H5=""),"",((H5-G5)*24))</f>
        <v/>
      </c>
    </row>
    <row r="6">
      <c r="A6" s="8" t="n"/>
      <c r="G6" s="10" t="n"/>
      <c r="H6" s="10" t="n"/>
      <c r="I6" s="9">
        <f>IF(OR(G6="",H6=""),"",((H6-G6)*24))</f>
        <v/>
      </c>
    </row>
    <row r="7">
      <c r="A7" s="8" t="n"/>
      <c r="G7" s="10" t="n"/>
      <c r="H7" s="10" t="n"/>
      <c r="I7" s="9">
        <f>IF(OR(G7="",H7=""),"",((H7-G7)*24))</f>
        <v/>
      </c>
    </row>
    <row r="8">
      <c r="A8" s="8" t="n"/>
      <c r="G8" s="10" t="n"/>
      <c r="H8" s="10" t="n"/>
      <c r="I8" s="9">
        <f>IF(OR(G8="",H8=""),"",((H8-G8)*24))</f>
        <v/>
      </c>
    </row>
    <row r="9">
      <c r="A9" s="8" t="n"/>
      <c r="G9" s="10" t="n"/>
      <c r="H9" s="10" t="n"/>
      <c r="I9" s="9">
        <f>IF(OR(G9="",H9=""),"",((H9-G9)*24))</f>
        <v/>
      </c>
    </row>
    <row r="10">
      <c r="A10" s="8" t="n"/>
      <c r="G10" s="10" t="n"/>
      <c r="H10" s="10" t="n"/>
      <c r="I10" s="9">
        <f>IF(OR(G10="",H10=""),"",((H10-G10)*24))</f>
        <v/>
      </c>
    </row>
    <row r="11">
      <c r="A11" s="8" t="n"/>
      <c r="G11" s="10" t="n"/>
      <c r="H11" s="10" t="n"/>
      <c r="I11" s="9">
        <f>IF(OR(G11="",H11=""),"",((H11-G11)*24))</f>
        <v/>
      </c>
    </row>
    <row r="12">
      <c r="A12" s="8" t="n"/>
      <c r="G12" s="10" t="n"/>
      <c r="H12" s="10" t="n"/>
      <c r="I12" s="9">
        <f>IF(OR(G12="",H12=""),"",((H12-G12)*24))</f>
        <v/>
      </c>
    </row>
    <row r="13">
      <c r="A13" s="8" t="n"/>
      <c r="G13" s="10" t="n"/>
      <c r="H13" s="10" t="n"/>
      <c r="I13" s="9">
        <f>IF(OR(G13="",H13=""),"",((H13-G13)*24))</f>
        <v/>
      </c>
    </row>
    <row r="14">
      <c r="A14" s="8" t="n"/>
      <c r="G14" s="10" t="n"/>
      <c r="H14" s="10" t="n"/>
      <c r="I14" s="9">
        <f>IF(OR(G14="",H14=""),"",((H14-G14)*24))</f>
        <v/>
      </c>
    </row>
    <row r="15">
      <c r="A15" s="8" t="n"/>
      <c r="G15" s="10" t="n"/>
      <c r="H15" s="10" t="n"/>
      <c r="I15" s="9">
        <f>IF(OR(G15="",H15=""),"",((H15-G15)*24))</f>
        <v/>
      </c>
    </row>
    <row r="16">
      <c r="A16" s="8" t="n"/>
      <c r="G16" s="10" t="n"/>
      <c r="H16" s="10" t="n"/>
      <c r="I16" s="9">
        <f>IF(OR(G16="",H16=""),"",((H16-G16)*24))</f>
        <v/>
      </c>
    </row>
    <row r="17">
      <c r="A17" s="8" t="n"/>
      <c r="G17" s="10" t="n"/>
      <c r="H17" s="10" t="n"/>
      <c r="I17" s="9">
        <f>IF(OR(G17="",H17=""),"",((H17-G17)*24))</f>
        <v/>
      </c>
    </row>
    <row r="18">
      <c r="A18" s="8" t="n"/>
      <c r="G18" s="10" t="n"/>
      <c r="H18" s="10" t="n"/>
      <c r="I18" s="9">
        <f>IF(OR(G18="",H18=""),"",((H18-G18)*24))</f>
        <v/>
      </c>
    </row>
    <row r="19">
      <c r="A19" s="8" t="n"/>
      <c r="G19" s="10" t="n"/>
      <c r="H19" s="10" t="n"/>
      <c r="I19" s="9">
        <f>IF(OR(G19="",H19=""),"",((H19-G19)*24))</f>
        <v/>
      </c>
    </row>
    <row r="20">
      <c r="A20" s="8" t="n"/>
      <c r="G20" s="10" t="n"/>
      <c r="H20" s="10" t="n"/>
      <c r="I20" s="9">
        <f>IF(OR(G20="",H20=""),"",((H20-G20)*24))</f>
        <v/>
      </c>
    </row>
    <row r="21">
      <c r="A21" s="8" t="n"/>
      <c r="G21" s="10" t="n"/>
      <c r="H21" s="10" t="n"/>
      <c r="I21" s="9">
        <f>IF(OR(G21="",H21=""),"",((H21-G21)*24))</f>
        <v/>
      </c>
    </row>
    <row r="22">
      <c r="A22" s="8" t="n"/>
      <c r="G22" s="10" t="n"/>
      <c r="H22" s="10" t="n"/>
      <c r="I22" s="9">
        <f>IF(OR(G22="",H22=""),"",((H22-G22)*24))</f>
        <v/>
      </c>
    </row>
    <row r="23">
      <c r="A23" s="8" t="n"/>
      <c r="G23" s="10" t="n"/>
      <c r="H23" s="10" t="n"/>
      <c r="I23" s="9">
        <f>IF(OR(G23="",H23=""),"",((H23-G23)*24))</f>
        <v/>
      </c>
    </row>
    <row r="24">
      <c r="A24" s="8" t="n"/>
      <c r="G24" s="10" t="n"/>
      <c r="H24" s="10" t="n"/>
      <c r="I24" s="9">
        <f>IF(OR(G24="",H24=""),"",((H24-G24)*24))</f>
        <v/>
      </c>
    </row>
    <row r="25">
      <c r="A25" s="8" t="n"/>
      <c r="G25" s="10" t="n"/>
      <c r="H25" s="10" t="n"/>
      <c r="I25" s="9">
        <f>IF(OR(G25="",H25=""),"",((H25-G25)*24))</f>
        <v/>
      </c>
    </row>
    <row r="26">
      <c r="A26" s="8" t="n"/>
      <c r="G26" s="10" t="n"/>
      <c r="H26" s="10" t="n"/>
      <c r="I26" s="9">
        <f>IF(OR(G26="",H26=""),"",((H26-G26)*24))</f>
        <v/>
      </c>
    </row>
    <row r="27">
      <c r="A27" s="8" t="n"/>
      <c r="G27" s="10" t="n"/>
      <c r="H27" s="10" t="n"/>
      <c r="I27" s="9">
        <f>IF(OR(G27="",H27=""),"",((H27-G27)*24))</f>
        <v/>
      </c>
    </row>
    <row r="28">
      <c r="A28" s="8" t="n"/>
      <c r="G28" s="10" t="n"/>
      <c r="H28" s="10" t="n"/>
      <c r="I28" s="9">
        <f>IF(OR(G28="",H28=""),"",((H28-G28)*24))</f>
        <v/>
      </c>
    </row>
    <row r="29">
      <c r="A29" s="8" t="n"/>
      <c r="G29" s="10" t="n"/>
      <c r="H29" s="10" t="n"/>
      <c r="I29" s="9">
        <f>IF(OR(G29="",H29=""),"",((H29-G29)*24))</f>
        <v/>
      </c>
    </row>
    <row r="30">
      <c r="A30" s="8" t="n"/>
      <c r="G30" s="10" t="n"/>
      <c r="H30" s="10" t="n"/>
      <c r="I30" s="9">
        <f>IF(OR(G30="",H30=""),"",((H30-G30)*24))</f>
        <v/>
      </c>
    </row>
    <row r="31">
      <c r="A31" s="8" t="n"/>
      <c r="G31" s="10" t="n"/>
      <c r="H31" s="10" t="n"/>
      <c r="I31" s="9">
        <f>IF(OR(G31="",H31=""),"",((H31-G31)*24))</f>
        <v/>
      </c>
    </row>
    <row r="32">
      <c r="A32" s="8" t="n"/>
      <c r="G32" s="10" t="n"/>
      <c r="H32" s="10" t="n"/>
      <c r="I32" s="9">
        <f>IF(OR(G32="",H32=""),"",((H32-G32)*24))</f>
        <v/>
      </c>
    </row>
    <row r="33">
      <c r="A33" s="8" t="n"/>
      <c r="G33" s="10" t="n"/>
      <c r="H33" s="10" t="n"/>
      <c r="I33" s="9">
        <f>IF(OR(G33="",H33=""),"",((H33-G33)*24))</f>
        <v/>
      </c>
    </row>
    <row r="34">
      <c r="A34" s="8" t="n"/>
      <c r="G34" s="10" t="n"/>
      <c r="H34" s="10" t="n"/>
      <c r="I34" s="9">
        <f>IF(OR(G34="",H34=""),"",((H34-G34)*24))</f>
        <v/>
      </c>
    </row>
    <row r="35">
      <c r="A35" s="8" t="n"/>
      <c r="G35" s="10" t="n"/>
      <c r="H35" s="10" t="n"/>
      <c r="I35" s="9">
        <f>IF(OR(G35="",H35=""),"",((H35-G35)*24))</f>
        <v/>
      </c>
    </row>
    <row r="36">
      <c r="A36" s="8" t="n"/>
      <c r="G36" s="10" t="n"/>
      <c r="H36" s="10" t="n"/>
      <c r="I36" s="9">
        <f>IF(OR(G36="",H36=""),"",((H36-G36)*24))</f>
        <v/>
      </c>
    </row>
    <row r="37">
      <c r="A37" s="8" t="n"/>
      <c r="G37" s="10" t="n"/>
      <c r="H37" s="10" t="n"/>
      <c r="I37" s="9">
        <f>IF(OR(G37="",H37=""),"",((H37-G37)*24))</f>
        <v/>
      </c>
    </row>
    <row r="38">
      <c r="A38" s="8" t="n"/>
      <c r="G38" s="10" t="n"/>
      <c r="H38" s="10" t="n"/>
      <c r="I38" s="9">
        <f>IF(OR(G38="",H38=""),"",((H38-G38)*24))</f>
        <v/>
      </c>
    </row>
    <row r="39">
      <c r="A39" s="8" t="n"/>
      <c r="G39" s="10" t="n"/>
      <c r="H39" s="10" t="n"/>
      <c r="I39" s="9">
        <f>IF(OR(G39="",H39=""),"",((H39-G39)*24))</f>
        <v/>
      </c>
    </row>
    <row r="40">
      <c r="A40" s="8" t="n"/>
      <c r="G40" s="10" t="n"/>
      <c r="H40" s="10" t="n"/>
      <c r="I40" s="9">
        <f>IF(OR(G40="",H40=""),"",((H40-G40)*24))</f>
        <v/>
      </c>
    </row>
    <row r="41">
      <c r="A41" s="8" t="n"/>
      <c r="G41" s="10" t="n"/>
      <c r="H41" s="10" t="n"/>
      <c r="I41" s="9">
        <f>IF(OR(G41="",H41=""),"",((H41-G41)*24))</f>
        <v/>
      </c>
    </row>
    <row r="42">
      <c r="A42" s="8" t="n"/>
      <c r="G42" s="10" t="n"/>
      <c r="H42" s="10" t="n"/>
      <c r="I42" s="9">
        <f>IF(OR(G42="",H42=""),"",((H42-G42)*24))</f>
        <v/>
      </c>
    </row>
    <row r="43">
      <c r="A43" s="8" t="n"/>
      <c r="G43" s="10" t="n"/>
      <c r="H43" s="10" t="n"/>
      <c r="I43" s="9">
        <f>IF(OR(G43="",H43=""),"",((H43-G43)*24))</f>
        <v/>
      </c>
    </row>
    <row r="44">
      <c r="A44" s="8" t="n"/>
      <c r="G44" s="10" t="n"/>
      <c r="H44" s="10" t="n"/>
      <c r="I44" s="9">
        <f>IF(OR(G44="",H44=""),"",((H44-G44)*24))</f>
        <v/>
      </c>
    </row>
    <row r="45">
      <c r="A45" s="8" t="n"/>
      <c r="G45" s="10" t="n"/>
      <c r="H45" s="10" t="n"/>
      <c r="I45" s="9">
        <f>IF(OR(G45="",H45=""),"",((H45-G45)*24))</f>
        <v/>
      </c>
    </row>
    <row r="46">
      <c r="A46" s="8" t="n"/>
      <c r="G46" s="10" t="n"/>
      <c r="H46" s="10" t="n"/>
      <c r="I46" s="9">
        <f>IF(OR(G46="",H46=""),"",((H46-G46)*24))</f>
        <v/>
      </c>
    </row>
    <row r="47">
      <c r="A47" s="8" t="n"/>
      <c r="G47" s="10" t="n"/>
      <c r="H47" s="10" t="n"/>
      <c r="I47" s="9">
        <f>IF(OR(G47="",H47=""),"",((H47-G47)*24))</f>
        <v/>
      </c>
    </row>
    <row r="48">
      <c r="A48" s="8" t="n"/>
      <c r="G48" s="10" t="n"/>
      <c r="H48" s="10" t="n"/>
      <c r="I48" s="9">
        <f>IF(OR(G48="",H48=""),"",((H48-G48)*24))</f>
        <v/>
      </c>
    </row>
    <row r="49">
      <c r="A49" s="8" t="n"/>
      <c r="G49" s="10" t="n"/>
      <c r="H49" s="10" t="n"/>
      <c r="I49" s="9">
        <f>IF(OR(G49="",H49=""),"",((H49-G49)*24))</f>
        <v/>
      </c>
    </row>
    <row r="50">
      <c r="A50" s="8" t="n"/>
      <c r="G50" s="10" t="n"/>
      <c r="H50" s="10" t="n"/>
      <c r="I50" s="9">
        <f>IF(OR(G50="",H50=""),"",((H50-G50)*24))</f>
        <v/>
      </c>
    </row>
    <row r="51">
      <c r="A51" s="8" t="n"/>
      <c r="G51" s="10" t="n"/>
      <c r="H51" s="10" t="n"/>
      <c r="I51" s="9">
        <f>IF(OR(G51="",H51=""),"",((H51-G51)*24))</f>
        <v/>
      </c>
    </row>
    <row r="52">
      <c r="A52" s="8" t="n"/>
      <c r="G52" s="10" t="n"/>
      <c r="H52" s="10" t="n"/>
      <c r="I52" s="9">
        <f>IF(OR(G52="",H52=""),"",((H52-G52)*24))</f>
        <v/>
      </c>
    </row>
    <row r="53">
      <c r="A53" s="8" t="n"/>
      <c r="G53" s="10" t="n"/>
      <c r="H53" s="10" t="n"/>
      <c r="I53" s="9">
        <f>IF(OR(G53="",H53=""),"",((H53-G53)*24))</f>
        <v/>
      </c>
    </row>
    <row r="54">
      <c r="A54" s="8" t="n"/>
      <c r="G54" s="10" t="n"/>
      <c r="H54" s="10" t="n"/>
      <c r="I54" s="9">
        <f>IF(OR(G54="",H54=""),"",((H54-G54)*24))</f>
        <v/>
      </c>
    </row>
    <row r="55">
      <c r="A55" s="8" t="n"/>
      <c r="G55" s="10" t="n"/>
      <c r="H55" s="10" t="n"/>
      <c r="I55" s="9">
        <f>IF(OR(G55="",H55=""),"",((H55-G55)*24))</f>
        <v/>
      </c>
    </row>
    <row r="56">
      <c r="A56" s="8" t="n"/>
      <c r="G56" s="10" t="n"/>
      <c r="H56" s="10" t="n"/>
      <c r="I56" s="9">
        <f>IF(OR(G56="",H56=""),"",((H56-G56)*24))</f>
        <v/>
      </c>
    </row>
    <row r="57">
      <c r="A57" s="8" t="n"/>
      <c r="G57" s="10" t="n"/>
      <c r="H57" s="10" t="n"/>
      <c r="I57" s="9">
        <f>IF(OR(G57="",H57=""),"",((H57-G57)*24))</f>
        <v/>
      </c>
    </row>
    <row r="58">
      <c r="A58" s="8" t="n"/>
      <c r="G58" s="10" t="n"/>
      <c r="H58" s="10" t="n"/>
      <c r="I58" s="9">
        <f>IF(OR(G58="",H58=""),"",((H58-G58)*24))</f>
        <v/>
      </c>
    </row>
    <row r="59">
      <c r="A59" s="8" t="n"/>
      <c r="G59" s="10" t="n"/>
      <c r="H59" s="10" t="n"/>
      <c r="I59" s="9">
        <f>IF(OR(G59="",H59=""),"",((H59-G59)*24))</f>
        <v/>
      </c>
    </row>
    <row r="60">
      <c r="A60" s="8" t="n"/>
      <c r="G60" s="10" t="n"/>
      <c r="H60" s="10" t="n"/>
      <c r="I60" s="9">
        <f>IF(OR(G60="",H60=""),"",((H60-G60)*24))</f>
        <v/>
      </c>
    </row>
    <row r="61">
      <c r="A61" s="8" t="n"/>
      <c r="G61" s="10" t="n"/>
      <c r="H61" s="10" t="n"/>
      <c r="I61" s="9">
        <f>IF(OR(G61="",H61=""),"",((H61-G61)*24))</f>
        <v/>
      </c>
    </row>
    <row r="62">
      <c r="A62" s="8" t="n"/>
      <c r="G62" s="10" t="n"/>
      <c r="H62" s="10" t="n"/>
      <c r="I62" s="9">
        <f>IF(OR(G62="",H62=""),"",((H62-G62)*24))</f>
        <v/>
      </c>
    </row>
    <row r="63">
      <c r="A63" s="8" t="n"/>
      <c r="G63" s="10" t="n"/>
      <c r="H63" s="10" t="n"/>
      <c r="I63" s="9">
        <f>IF(OR(G63="",H63=""),"",((H63-G63)*24))</f>
        <v/>
      </c>
    </row>
    <row r="64">
      <c r="A64" s="8" t="n"/>
      <c r="G64" s="10" t="n"/>
      <c r="H64" s="10" t="n"/>
      <c r="I64" s="9">
        <f>IF(OR(G64="",H64=""),"",((H64-G64)*24))</f>
        <v/>
      </c>
    </row>
    <row r="65">
      <c r="A65" s="8" t="n"/>
      <c r="G65" s="10" t="n"/>
      <c r="H65" s="10" t="n"/>
      <c r="I65" s="9">
        <f>IF(OR(G65="",H65=""),"",((H65-G65)*24))</f>
        <v/>
      </c>
    </row>
    <row r="66">
      <c r="A66" s="8" t="n"/>
      <c r="G66" s="10" t="n"/>
      <c r="H66" s="10" t="n"/>
      <c r="I66" s="9">
        <f>IF(OR(G66="",H66=""),"",((H66-G66)*24))</f>
        <v/>
      </c>
    </row>
    <row r="67">
      <c r="A67" s="8" t="n"/>
      <c r="G67" s="10" t="n"/>
      <c r="H67" s="10" t="n"/>
      <c r="I67" s="9">
        <f>IF(OR(G67="",H67=""),"",((H67-G67)*24))</f>
        <v/>
      </c>
    </row>
    <row r="68">
      <c r="A68" s="8" t="n"/>
      <c r="G68" s="10" t="n"/>
      <c r="H68" s="10" t="n"/>
      <c r="I68" s="9">
        <f>IF(OR(G68="",H68=""),"",((H68-G68)*24))</f>
        <v/>
      </c>
    </row>
    <row r="69">
      <c r="A69" s="8" t="n"/>
      <c r="G69" s="10" t="n"/>
      <c r="H69" s="10" t="n"/>
      <c r="I69" s="9">
        <f>IF(OR(G69="",H69=""),"",((H69-G69)*24))</f>
        <v/>
      </c>
    </row>
    <row r="70">
      <c r="A70" s="8" t="n"/>
      <c r="G70" s="10" t="n"/>
      <c r="H70" s="10" t="n"/>
      <c r="I70" s="9">
        <f>IF(OR(G70="",H70=""),"",((H70-G70)*24))</f>
        <v/>
      </c>
    </row>
    <row r="71">
      <c r="A71" s="8" t="n"/>
      <c r="G71" s="10" t="n"/>
      <c r="H71" s="10" t="n"/>
      <c r="I71" s="9">
        <f>IF(OR(G71="",H71=""),"",((H71-G71)*24))</f>
        <v/>
      </c>
    </row>
    <row r="72">
      <c r="A72" s="8" t="n"/>
      <c r="G72" s="10" t="n"/>
      <c r="H72" s="10" t="n"/>
      <c r="I72" s="9">
        <f>IF(OR(G72="",H72=""),"",((H72-G72)*24))</f>
        <v/>
      </c>
    </row>
    <row r="73">
      <c r="A73" s="8" t="n"/>
      <c r="G73" s="10" t="n"/>
      <c r="H73" s="10" t="n"/>
      <c r="I73" s="9">
        <f>IF(OR(G73="",H73=""),"",((H73-G73)*24))</f>
        <v/>
      </c>
    </row>
    <row r="74">
      <c r="A74" s="8" t="n"/>
      <c r="G74" s="10" t="n"/>
      <c r="H74" s="10" t="n"/>
      <c r="I74" s="9">
        <f>IF(OR(G74="",H74=""),"",((H74-G74)*24))</f>
        <v/>
      </c>
    </row>
    <row r="75">
      <c r="A75" s="8" t="n"/>
      <c r="G75" s="10" t="n"/>
      <c r="H75" s="10" t="n"/>
      <c r="I75" s="9">
        <f>IF(OR(G75="",H75=""),"",((H75-G75)*24))</f>
        <v/>
      </c>
    </row>
    <row r="76">
      <c r="A76" s="8" t="n"/>
      <c r="G76" s="10" t="n"/>
      <c r="H76" s="10" t="n"/>
      <c r="I76" s="9">
        <f>IF(OR(G76="",H76=""),"",((H76-G76)*24))</f>
        <v/>
      </c>
    </row>
    <row r="77">
      <c r="A77" s="8" t="n"/>
      <c r="G77" s="10" t="n"/>
      <c r="H77" s="10" t="n"/>
      <c r="I77" s="9">
        <f>IF(OR(G77="",H77=""),"",((H77-G77)*24))</f>
        <v/>
      </c>
    </row>
    <row r="78">
      <c r="A78" s="8" t="n"/>
      <c r="G78" s="10" t="n"/>
      <c r="H78" s="10" t="n"/>
      <c r="I78" s="9">
        <f>IF(OR(G78="",H78=""),"",((H78-G78)*24))</f>
        <v/>
      </c>
    </row>
    <row r="79">
      <c r="A79" s="8" t="n"/>
      <c r="G79" s="10" t="n"/>
      <c r="H79" s="10" t="n"/>
      <c r="I79" s="9">
        <f>IF(OR(G79="",H79=""),"",((H79-G79)*24))</f>
        <v/>
      </c>
    </row>
    <row r="80">
      <c r="A80" s="8" t="n"/>
      <c r="G80" s="10" t="n"/>
      <c r="H80" s="10" t="n"/>
      <c r="I80" s="9">
        <f>IF(OR(G80="",H80=""),"",((H80-G80)*24))</f>
        <v/>
      </c>
    </row>
    <row r="81">
      <c r="A81" s="8" t="n"/>
      <c r="G81" s="10" t="n"/>
      <c r="H81" s="10" t="n"/>
      <c r="I81" s="9">
        <f>IF(OR(G81="",H81=""),"",((H81-G81)*24))</f>
        <v/>
      </c>
    </row>
    <row r="82">
      <c r="A82" s="8" t="n"/>
      <c r="G82" s="10" t="n"/>
      <c r="H82" s="10" t="n"/>
      <c r="I82" s="9">
        <f>IF(OR(G82="",H82=""),"",((H82-G82)*24))</f>
        <v/>
      </c>
    </row>
    <row r="83">
      <c r="A83" s="8" t="n"/>
      <c r="G83" s="10" t="n"/>
      <c r="H83" s="10" t="n"/>
      <c r="I83" s="9">
        <f>IF(OR(G83="",H83=""),"",((H83-G83)*24))</f>
        <v/>
      </c>
    </row>
    <row r="84">
      <c r="A84" s="8" t="n"/>
      <c r="G84" s="10" t="n"/>
      <c r="H84" s="10" t="n"/>
      <c r="I84" s="9">
        <f>IF(OR(G84="",H84=""),"",((H84-G84)*24))</f>
        <v/>
      </c>
    </row>
    <row r="85">
      <c r="A85" s="8" t="n"/>
      <c r="G85" s="10" t="n"/>
      <c r="H85" s="10" t="n"/>
      <c r="I85" s="9">
        <f>IF(OR(G85="",H85=""),"",((H85-G85)*24))</f>
        <v/>
      </c>
    </row>
    <row r="86">
      <c r="A86" s="8" t="n"/>
      <c r="G86" s="10" t="n"/>
      <c r="H86" s="10" t="n"/>
      <c r="I86" s="9">
        <f>IF(OR(G86="",H86=""),"",((H86-G86)*24))</f>
        <v/>
      </c>
    </row>
    <row r="87">
      <c r="A87" s="8" t="n"/>
      <c r="G87" s="10" t="n"/>
      <c r="H87" s="10" t="n"/>
      <c r="I87" s="9">
        <f>IF(OR(G87="",H87=""),"",((H87-G87)*24))</f>
        <v/>
      </c>
    </row>
    <row r="88">
      <c r="A88" s="8" t="n"/>
      <c r="G88" s="10" t="n"/>
      <c r="H88" s="10" t="n"/>
      <c r="I88" s="9">
        <f>IF(OR(G88="",H88=""),"",((H88-G88)*24))</f>
        <v/>
      </c>
    </row>
    <row r="89">
      <c r="A89" s="8" t="n"/>
      <c r="G89" s="10" t="n"/>
      <c r="H89" s="10" t="n"/>
      <c r="I89" s="9">
        <f>IF(OR(G89="",H89=""),"",((H89-G89)*24))</f>
        <v/>
      </c>
    </row>
    <row r="90">
      <c r="A90" s="8" t="n"/>
      <c r="G90" s="10" t="n"/>
      <c r="H90" s="10" t="n"/>
      <c r="I90" s="9">
        <f>IF(OR(G90="",H90=""),"",((H90-G90)*24))</f>
        <v/>
      </c>
    </row>
    <row r="91">
      <c r="A91" s="8" t="n"/>
      <c r="G91" s="10" t="n"/>
      <c r="H91" s="10" t="n"/>
      <c r="I91" s="9">
        <f>IF(OR(G91="",H91=""),"",((H91-G91)*24))</f>
        <v/>
      </c>
    </row>
    <row r="92">
      <c r="A92" s="8" t="n"/>
      <c r="G92" s="10" t="n"/>
      <c r="H92" s="10" t="n"/>
      <c r="I92" s="9">
        <f>IF(OR(G92="",H92=""),"",((H92-G92)*24))</f>
        <v/>
      </c>
    </row>
    <row r="93">
      <c r="A93" s="8" t="n"/>
      <c r="G93" s="10" t="n"/>
      <c r="H93" s="10" t="n"/>
      <c r="I93" s="9">
        <f>IF(OR(G93="",H93=""),"",((H93-G93)*24))</f>
        <v/>
      </c>
    </row>
    <row r="94">
      <c r="A94" s="8" t="n"/>
      <c r="G94" s="10" t="n"/>
      <c r="H94" s="10" t="n"/>
      <c r="I94" s="9">
        <f>IF(OR(G94="",H94=""),"",((H94-G94)*24))</f>
        <v/>
      </c>
    </row>
    <row r="95">
      <c r="A95" s="8" t="n"/>
      <c r="G95" s="10" t="n"/>
      <c r="H95" s="10" t="n"/>
      <c r="I95" s="9">
        <f>IF(OR(G95="",H95=""),"",((H95-G95)*24))</f>
        <v/>
      </c>
    </row>
    <row r="96">
      <c r="A96" s="8" t="n"/>
      <c r="G96" s="10" t="n"/>
      <c r="H96" s="10" t="n"/>
      <c r="I96" s="9">
        <f>IF(OR(G96="",H96=""),"",((H96-G96)*24))</f>
        <v/>
      </c>
    </row>
    <row r="97">
      <c r="A97" s="8" t="n"/>
      <c r="G97" s="10" t="n"/>
      <c r="H97" s="10" t="n"/>
      <c r="I97" s="9">
        <f>IF(OR(G97="",H97=""),"",((H97-G97)*24))</f>
        <v/>
      </c>
    </row>
    <row r="98">
      <c r="A98" s="8" t="n"/>
      <c r="G98" s="10" t="n"/>
      <c r="H98" s="10" t="n"/>
      <c r="I98" s="9">
        <f>IF(OR(G98="",H98=""),"",((H98-G98)*24))</f>
        <v/>
      </c>
    </row>
    <row r="99">
      <c r="A99" s="8" t="n"/>
      <c r="G99" s="10" t="n"/>
      <c r="H99" s="10" t="n"/>
      <c r="I99" s="9">
        <f>IF(OR(G99="",H99=""),"",((H99-G99)*24))</f>
        <v/>
      </c>
    </row>
    <row r="100">
      <c r="A100" s="8" t="n"/>
      <c r="G100" s="10" t="n"/>
      <c r="H100" s="10" t="n"/>
      <c r="I100" s="9">
        <f>IF(OR(G100="",H100=""),"",((H100-G100)*24))</f>
        <v/>
      </c>
    </row>
    <row r="101">
      <c r="A101" s="8" t="n"/>
      <c r="G101" s="10" t="n"/>
      <c r="H101" s="10" t="n"/>
      <c r="I101" s="9">
        <f>IF(OR(G101="",H101=""),"",((H101-G101)*24))</f>
        <v/>
      </c>
    </row>
    <row r="102">
      <c r="A102" s="8" t="n"/>
      <c r="G102" s="10" t="n"/>
      <c r="H102" s="10" t="n"/>
      <c r="I102" s="9">
        <f>IF(OR(G102="",H102=""),"",((H102-G102)*24))</f>
        <v/>
      </c>
    </row>
    <row r="103">
      <c r="A103" s="8" t="n"/>
      <c r="G103" s="10" t="n"/>
      <c r="H103" s="10" t="n"/>
      <c r="I103" s="9">
        <f>IF(OR(G103="",H103=""),"",((H103-G103)*24))</f>
        <v/>
      </c>
    </row>
    <row r="104">
      <c r="A104" s="8" t="n"/>
      <c r="G104" s="10" t="n"/>
      <c r="H104" s="10" t="n"/>
      <c r="I104" s="9">
        <f>IF(OR(G104="",H104=""),"",((H104-G104)*24))</f>
        <v/>
      </c>
    </row>
    <row r="105">
      <c r="A105" s="8" t="n"/>
      <c r="G105" s="10" t="n"/>
      <c r="H105" s="10" t="n"/>
      <c r="I105" s="9">
        <f>IF(OR(G105="",H105=""),"",((H105-G105)*24))</f>
        <v/>
      </c>
    </row>
    <row r="106">
      <c r="A106" s="8" t="n"/>
      <c r="G106" s="10" t="n"/>
      <c r="H106" s="10" t="n"/>
      <c r="I106" s="9">
        <f>IF(OR(G106="",H106=""),"",((H106-G106)*24))</f>
        <v/>
      </c>
    </row>
    <row r="107">
      <c r="A107" s="8" t="n"/>
      <c r="G107" s="10" t="n"/>
      <c r="H107" s="10" t="n"/>
      <c r="I107" s="9">
        <f>IF(OR(G107="",H107=""),"",((H107-G107)*24))</f>
        <v/>
      </c>
    </row>
    <row r="108">
      <c r="A108" s="8" t="n"/>
      <c r="G108" s="10" t="n"/>
      <c r="H108" s="10" t="n"/>
      <c r="I108" s="9">
        <f>IF(OR(G108="",H108=""),"",((H108-G108)*24))</f>
        <v/>
      </c>
    </row>
    <row r="109">
      <c r="A109" s="8" t="n"/>
      <c r="G109" s="10" t="n"/>
      <c r="H109" s="10" t="n"/>
      <c r="I109" s="9">
        <f>IF(OR(G109="",H109=""),"",((H109-G109)*24))</f>
        <v/>
      </c>
    </row>
    <row r="110">
      <c r="A110" s="8" t="n"/>
      <c r="G110" s="10" t="n"/>
      <c r="H110" s="10" t="n"/>
      <c r="I110" s="9">
        <f>IF(OR(G110="",H110=""),"",((H110-G110)*24))</f>
        <v/>
      </c>
    </row>
    <row r="111">
      <c r="A111" s="8" t="n"/>
      <c r="G111" s="10" t="n"/>
      <c r="H111" s="10" t="n"/>
      <c r="I111" s="9">
        <f>IF(OR(G111="",H111=""),"",((H111-G111)*24))</f>
        <v/>
      </c>
    </row>
    <row r="112">
      <c r="A112" s="8" t="n"/>
      <c r="G112" s="10" t="n"/>
      <c r="H112" s="10" t="n"/>
      <c r="I112" s="9">
        <f>IF(OR(G112="",H112=""),"",((H112-G112)*24))</f>
        <v/>
      </c>
    </row>
    <row r="113">
      <c r="A113" s="8" t="n"/>
      <c r="G113" s="10" t="n"/>
      <c r="H113" s="10" t="n"/>
      <c r="I113" s="9">
        <f>IF(OR(G113="",H113=""),"",((H113-G113)*24))</f>
        <v/>
      </c>
    </row>
    <row r="114">
      <c r="A114" s="8" t="n"/>
      <c r="G114" s="10" t="n"/>
      <c r="H114" s="10" t="n"/>
      <c r="I114" s="9">
        <f>IF(OR(G114="",H114=""),"",((H114-G114)*24))</f>
        <v/>
      </c>
    </row>
    <row r="115">
      <c r="A115" s="8" t="n"/>
      <c r="G115" s="10" t="n"/>
      <c r="H115" s="10" t="n"/>
      <c r="I115" s="9">
        <f>IF(OR(G115="",H115=""),"",((H115-G115)*24))</f>
        <v/>
      </c>
    </row>
    <row r="116">
      <c r="A116" s="8" t="n"/>
      <c r="G116" s="10" t="n"/>
      <c r="H116" s="10" t="n"/>
      <c r="I116" s="9">
        <f>IF(OR(G116="",H116=""),"",((H116-G116)*24))</f>
        <v/>
      </c>
    </row>
    <row r="117">
      <c r="A117" s="8" t="n"/>
      <c r="G117" s="10" t="n"/>
      <c r="H117" s="10" t="n"/>
      <c r="I117" s="9">
        <f>IF(OR(G117="",H117=""),"",((H117-G117)*24))</f>
        <v/>
      </c>
    </row>
    <row r="118">
      <c r="A118" s="8" t="n"/>
      <c r="G118" s="10" t="n"/>
      <c r="H118" s="10" t="n"/>
      <c r="I118" s="9">
        <f>IF(OR(G118="",H118=""),"",((H118-G118)*24))</f>
        <v/>
      </c>
    </row>
    <row r="119">
      <c r="A119" s="8" t="n"/>
      <c r="G119" s="10" t="n"/>
      <c r="H119" s="10" t="n"/>
      <c r="I119" s="9">
        <f>IF(OR(G119="",H119=""),"",((H119-G119)*24))</f>
        <v/>
      </c>
    </row>
    <row r="120">
      <c r="A120" s="8" t="n"/>
      <c r="G120" s="10" t="n"/>
      <c r="H120" s="10" t="n"/>
      <c r="I120" s="9">
        <f>IF(OR(G120="",H120=""),"",((H120-G120)*24))</f>
        <v/>
      </c>
    </row>
    <row r="121">
      <c r="A121" s="8" t="n"/>
      <c r="G121" s="10" t="n"/>
      <c r="H121" s="10" t="n"/>
      <c r="I121" s="9">
        <f>IF(OR(G121="",H121=""),"",((H121-G121)*24))</f>
        <v/>
      </c>
    </row>
    <row r="122">
      <c r="A122" s="8" t="n"/>
      <c r="G122" s="10" t="n"/>
      <c r="H122" s="10" t="n"/>
      <c r="I122" s="9">
        <f>IF(OR(G122="",H122=""),"",((H122-G122)*24))</f>
        <v/>
      </c>
    </row>
    <row r="123">
      <c r="A123" s="8" t="n"/>
      <c r="G123" s="10" t="n"/>
      <c r="H123" s="10" t="n"/>
      <c r="I123" s="9">
        <f>IF(OR(G123="",H123=""),"",((H123-G123)*24))</f>
        <v/>
      </c>
    </row>
    <row r="124">
      <c r="A124" s="8" t="n"/>
      <c r="G124" s="10" t="n"/>
      <c r="H124" s="10" t="n"/>
      <c r="I124" s="9">
        <f>IF(OR(G124="",H124=""),"",((H124-G124)*24))</f>
        <v/>
      </c>
    </row>
    <row r="125">
      <c r="A125" s="8" t="n"/>
      <c r="G125" s="10" t="n"/>
      <c r="H125" s="10" t="n"/>
      <c r="I125" s="9">
        <f>IF(OR(G125="",H125=""),"",((H125-G125)*24))</f>
        <v/>
      </c>
    </row>
    <row r="126">
      <c r="A126" s="8" t="n"/>
      <c r="G126" s="10" t="n"/>
      <c r="H126" s="10" t="n"/>
      <c r="I126" s="9">
        <f>IF(OR(G126="",H126=""),"",((H126-G126)*24))</f>
        <v/>
      </c>
    </row>
    <row r="127">
      <c r="A127" s="8" t="n"/>
      <c r="G127" s="10" t="n"/>
      <c r="H127" s="10" t="n"/>
      <c r="I127" s="9">
        <f>IF(OR(G127="",H127=""),"",((H127-G127)*24))</f>
        <v/>
      </c>
    </row>
    <row r="128">
      <c r="A128" s="8" t="n"/>
      <c r="G128" s="10" t="n"/>
      <c r="H128" s="10" t="n"/>
      <c r="I128" s="9">
        <f>IF(OR(G128="",H128=""),"",((H128-G128)*24))</f>
        <v/>
      </c>
    </row>
    <row r="129">
      <c r="A129" s="8" t="n"/>
      <c r="G129" s="10" t="n"/>
      <c r="H129" s="10" t="n"/>
      <c r="I129" s="9">
        <f>IF(OR(G129="",H129=""),"",((H129-G129)*24))</f>
        <v/>
      </c>
    </row>
    <row r="130">
      <c r="A130" s="8" t="n"/>
      <c r="G130" s="10" t="n"/>
      <c r="H130" s="10" t="n"/>
      <c r="I130" s="9">
        <f>IF(OR(G130="",H130=""),"",((H130-G130)*24))</f>
        <v/>
      </c>
    </row>
    <row r="131">
      <c r="A131" s="8" t="n"/>
      <c r="G131" s="10" t="n"/>
      <c r="H131" s="10" t="n"/>
      <c r="I131" s="9">
        <f>IF(OR(G131="",H131=""),"",((H131-G131)*24))</f>
        <v/>
      </c>
    </row>
    <row r="132">
      <c r="A132" s="8" t="n"/>
      <c r="G132" s="10" t="n"/>
      <c r="H132" s="10" t="n"/>
      <c r="I132" s="9">
        <f>IF(OR(G132="",H132=""),"",((H132-G132)*24))</f>
        <v/>
      </c>
    </row>
    <row r="133">
      <c r="A133" s="8" t="n"/>
      <c r="G133" s="10" t="n"/>
      <c r="H133" s="10" t="n"/>
      <c r="I133" s="9">
        <f>IF(OR(G133="",H133=""),"",((H133-G133)*24))</f>
        <v/>
      </c>
    </row>
    <row r="134">
      <c r="A134" s="8" t="n"/>
      <c r="G134" s="10" t="n"/>
      <c r="H134" s="10" t="n"/>
      <c r="I134" s="9">
        <f>IF(OR(G134="",H134=""),"",((H134-G134)*24))</f>
        <v/>
      </c>
    </row>
    <row r="135">
      <c r="A135" s="8" t="n"/>
      <c r="G135" s="10" t="n"/>
      <c r="H135" s="10" t="n"/>
      <c r="I135" s="9">
        <f>IF(OR(G135="",H135=""),"",((H135-G135)*24))</f>
        <v/>
      </c>
    </row>
    <row r="136">
      <c r="A136" s="8" t="n"/>
      <c r="G136" s="10" t="n"/>
      <c r="H136" s="10" t="n"/>
      <c r="I136" s="9">
        <f>IF(OR(G136="",H136=""),"",((H136-G136)*24))</f>
        <v/>
      </c>
    </row>
    <row r="137">
      <c r="A137" s="8" t="n"/>
      <c r="G137" s="10" t="n"/>
      <c r="H137" s="10" t="n"/>
      <c r="I137" s="9">
        <f>IF(OR(G137="",H137=""),"",((H137-G137)*24))</f>
        <v/>
      </c>
    </row>
    <row r="138">
      <c r="A138" s="8" t="n"/>
      <c r="G138" s="10" t="n"/>
      <c r="H138" s="10" t="n"/>
      <c r="I138" s="9">
        <f>IF(OR(G138="",H138=""),"",((H138-G138)*24))</f>
        <v/>
      </c>
    </row>
    <row r="139">
      <c r="A139" s="8" t="n"/>
      <c r="G139" s="10" t="n"/>
      <c r="H139" s="10" t="n"/>
      <c r="I139" s="9">
        <f>IF(OR(G139="",H139=""),"",((H139-G139)*24))</f>
        <v/>
      </c>
    </row>
    <row r="140">
      <c r="A140" s="8" t="n"/>
      <c r="G140" s="10" t="n"/>
      <c r="H140" s="10" t="n"/>
      <c r="I140" s="9">
        <f>IF(OR(G140="",H140=""),"",((H140-G140)*24))</f>
        <v/>
      </c>
    </row>
    <row r="141">
      <c r="A141" s="8" t="n"/>
      <c r="G141" s="10" t="n"/>
      <c r="H141" s="10" t="n"/>
      <c r="I141" s="9">
        <f>IF(OR(G141="",H141=""),"",((H141-G141)*24))</f>
        <v/>
      </c>
    </row>
    <row r="142">
      <c r="A142" s="8" t="n"/>
      <c r="G142" s="10" t="n"/>
      <c r="H142" s="10" t="n"/>
      <c r="I142" s="9">
        <f>IF(OR(G142="",H142=""),"",((H142-G142)*24))</f>
        <v/>
      </c>
    </row>
    <row r="143">
      <c r="A143" s="8" t="n"/>
      <c r="G143" s="10" t="n"/>
      <c r="H143" s="10" t="n"/>
      <c r="I143" s="9">
        <f>IF(OR(G143="",H143=""),"",((H143-G143)*24))</f>
        <v/>
      </c>
    </row>
    <row r="144">
      <c r="A144" s="8" t="n"/>
      <c r="G144" s="10" t="n"/>
      <c r="H144" s="10" t="n"/>
      <c r="I144" s="9">
        <f>IF(OR(G144="",H144=""),"",((H144-G144)*24))</f>
        <v/>
      </c>
    </row>
    <row r="145">
      <c r="A145" s="8" t="n"/>
      <c r="G145" s="10" t="n"/>
      <c r="H145" s="10" t="n"/>
      <c r="I145" s="9">
        <f>IF(OR(G145="",H145=""),"",((H145-G145)*24))</f>
        <v/>
      </c>
    </row>
    <row r="146">
      <c r="A146" s="8" t="n"/>
      <c r="G146" s="10" t="n"/>
      <c r="H146" s="10" t="n"/>
      <c r="I146" s="9">
        <f>IF(OR(G146="",H146=""),"",((H146-G146)*24))</f>
        <v/>
      </c>
    </row>
    <row r="147">
      <c r="A147" s="8" t="n"/>
      <c r="G147" s="10" t="n"/>
      <c r="H147" s="10" t="n"/>
      <c r="I147" s="9">
        <f>IF(OR(G147="",H147=""),"",((H147-G147)*24))</f>
        <v/>
      </c>
    </row>
    <row r="148">
      <c r="A148" s="8" t="n"/>
      <c r="G148" s="10" t="n"/>
      <c r="H148" s="10" t="n"/>
      <c r="I148" s="9">
        <f>IF(OR(G148="",H148=""),"",((H148-G148)*24))</f>
        <v/>
      </c>
    </row>
    <row r="149">
      <c r="A149" s="8" t="n"/>
      <c r="G149" s="10" t="n"/>
      <c r="H149" s="10" t="n"/>
      <c r="I149" s="9">
        <f>IF(OR(G149="",H149=""),"",((H149-G149)*24))</f>
        <v/>
      </c>
    </row>
    <row r="150">
      <c r="A150" s="8" t="n"/>
      <c r="G150" s="10" t="n"/>
      <c r="H150" s="10" t="n"/>
      <c r="I150" s="9">
        <f>IF(OR(G150="",H150=""),"",((H150-G150)*24))</f>
        <v/>
      </c>
    </row>
    <row r="151">
      <c r="A151" s="8" t="n"/>
      <c r="G151" s="10" t="n"/>
      <c r="H151" s="10" t="n"/>
      <c r="I151" s="9">
        <f>IF(OR(G151="",H151=""),"",((H151-G151)*24))</f>
        <v/>
      </c>
    </row>
    <row r="152">
      <c r="A152" s="8" t="n"/>
      <c r="G152" s="10" t="n"/>
      <c r="H152" s="10" t="n"/>
      <c r="I152" s="9">
        <f>IF(OR(G152="",H152=""),"",((H152-G152)*24))</f>
        <v/>
      </c>
    </row>
    <row r="153">
      <c r="A153" s="8" t="n"/>
      <c r="G153" s="10" t="n"/>
      <c r="H153" s="10" t="n"/>
      <c r="I153" s="9">
        <f>IF(OR(G153="",H153=""),"",((H153-G153)*24))</f>
        <v/>
      </c>
    </row>
    <row r="154">
      <c r="A154" s="8" t="n"/>
      <c r="G154" s="10" t="n"/>
      <c r="H154" s="10" t="n"/>
      <c r="I154" s="9">
        <f>IF(OR(G154="",H154=""),"",((H154-G154)*24))</f>
        <v/>
      </c>
    </row>
    <row r="155">
      <c r="A155" s="8" t="n"/>
      <c r="G155" s="10" t="n"/>
      <c r="H155" s="10" t="n"/>
      <c r="I155" s="9">
        <f>IF(OR(G155="",H155=""),"",((H155-G155)*24))</f>
        <v/>
      </c>
    </row>
    <row r="156">
      <c r="A156" s="8" t="n"/>
      <c r="G156" s="10" t="n"/>
      <c r="H156" s="10" t="n"/>
      <c r="I156" s="9">
        <f>IF(OR(G156="",H156=""),"",((H156-G156)*24))</f>
        <v/>
      </c>
    </row>
    <row r="157">
      <c r="A157" s="8" t="n"/>
      <c r="G157" s="10" t="n"/>
      <c r="H157" s="10" t="n"/>
      <c r="I157" s="9">
        <f>IF(OR(G157="",H157=""),"",((H157-G157)*24))</f>
        <v/>
      </c>
    </row>
    <row r="158">
      <c r="A158" s="8" t="n"/>
      <c r="G158" s="10" t="n"/>
      <c r="H158" s="10" t="n"/>
      <c r="I158" s="9">
        <f>IF(OR(G158="",H158=""),"",((H158-G158)*24))</f>
        <v/>
      </c>
    </row>
    <row r="159">
      <c r="A159" s="8" t="n"/>
      <c r="G159" s="10" t="n"/>
      <c r="H159" s="10" t="n"/>
      <c r="I159" s="9">
        <f>IF(OR(G159="",H159=""),"",((H159-G159)*24))</f>
        <v/>
      </c>
    </row>
    <row r="160">
      <c r="A160" s="8" t="n"/>
      <c r="G160" s="10" t="n"/>
      <c r="H160" s="10" t="n"/>
      <c r="I160" s="9">
        <f>IF(OR(G160="",H160=""),"",((H160-G160)*24))</f>
        <v/>
      </c>
    </row>
    <row r="161">
      <c r="A161" s="8" t="n"/>
      <c r="G161" s="10" t="n"/>
      <c r="H161" s="10" t="n"/>
      <c r="I161" s="9">
        <f>IF(OR(G161="",H161=""),"",((H161-G161)*24))</f>
        <v/>
      </c>
    </row>
    <row r="162">
      <c r="A162" s="8" t="n"/>
      <c r="G162" s="10" t="n"/>
      <c r="H162" s="10" t="n"/>
      <c r="I162" s="9">
        <f>IF(OR(G162="",H162=""),"",((H162-G162)*24))</f>
        <v/>
      </c>
    </row>
    <row r="163">
      <c r="A163" s="8" t="n"/>
      <c r="G163" s="10" t="n"/>
      <c r="H163" s="10" t="n"/>
      <c r="I163" s="9">
        <f>IF(OR(G163="",H163=""),"",((H163-G163)*24))</f>
        <v/>
      </c>
    </row>
    <row r="164">
      <c r="A164" s="8" t="n"/>
      <c r="G164" s="10" t="n"/>
      <c r="H164" s="10" t="n"/>
      <c r="I164" s="9">
        <f>IF(OR(G164="",H164=""),"",((H164-G164)*24))</f>
        <v/>
      </c>
    </row>
    <row r="165">
      <c r="A165" s="8" t="n"/>
      <c r="G165" s="10" t="n"/>
      <c r="H165" s="10" t="n"/>
      <c r="I165" s="9">
        <f>IF(OR(G165="",H165=""),"",((H165-G165)*24))</f>
        <v/>
      </c>
    </row>
    <row r="166">
      <c r="A166" s="8" t="n"/>
      <c r="G166" s="10" t="n"/>
      <c r="H166" s="10" t="n"/>
      <c r="I166" s="9">
        <f>IF(OR(G166="",H166=""),"",((H166-G166)*24))</f>
        <v/>
      </c>
    </row>
    <row r="167">
      <c r="A167" s="8" t="n"/>
      <c r="G167" s="10" t="n"/>
      <c r="H167" s="10" t="n"/>
      <c r="I167" s="9">
        <f>IF(OR(G167="",H167=""),"",((H167-G167)*24))</f>
        <v/>
      </c>
    </row>
    <row r="168">
      <c r="A168" s="8" t="n"/>
      <c r="G168" s="10" t="n"/>
      <c r="H168" s="10" t="n"/>
      <c r="I168" s="9">
        <f>IF(OR(G168="",H168=""),"",((H168-G168)*24))</f>
        <v/>
      </c>
    </row>
    <row r="169">
      <c r="A169" s="8" t="n"/>
      <c r="G169" s="10" t="n"/>
      <c r="H169" s="10" t="n"/>
      <c r="I169" s="9">
        <f>IF(OR(G169="",H169=""),"",((H169-G169)*24))</f>
        <v/>
      </c>
    </row>
    <row r="170">
      <c r="A170" s="8" t="n"/>
      <c r="G170" s="10" t="n"/>
      <c r="H170" s="10" t="n"/>
      <c r="I170" s="9">
        <f>IF(OR(G170="",H170=""),"",((H170-G170)*24))</f>
        <v/>
      </c>
    </row>
    <row r="171">
      <c r="A171" s="8" t="n"/>
      <c r="G171" s="10" t="n"/>
      <c r="H171" s="10" t="n"/>
      <c r="I171" s="9">
        <f>IF(OR(G171="",H171=""),"",((H171-G171)*24))</f>
        <v/>
      </c>
    </row>
    <row r="172">
      <c r="A172" s="8" t="n"/>
      <c r="G172" s="10" t="n"/>
      <c r="H172" s="10" t="n"/>
      <c r="I172" s="9">
        <f>IF(OR(G172="",H172=""),"",((H172-G172)*24))</f>
        <v/>
      </c>
    </row>
    <row r="173">
      <c r="A173" s="8" t="n"/>
      <c r="G173" s="10" t="n"/>
      <c r="H173" s="10" t="n"/>
      <c r="I173" s="9">
        <f>IF(OR(G173="",H173=""),"",((H173-G173)*24))</f>
        <v/>
      </c>
    </row>
    <row r="174">
      <c r="A174" s="8" t="n"/>
      <c r="G174" s="10" t="n"/>
      <c r="H174" s="10" t="n"/>
      <c r="I174" s="9">
        <f>IF(OR(G174="",H174=""),"",((H174-G174)*24))</f>
        <v/>
      </c>
    </row>
    <row r="175">
      <c r="A175" s="8" t="n"/>
      <c r="G175" s="10" t="n"/>
      <c r="H175" s="10" t="n"/>
      <c r="I175" s="9">
        <f>IF(OR(G175="",H175=""),"",((H175-G175)*24))</f>
        <v/>
      </c>
    </row>
    <row r="176">
      <c r="A176" s="8" t="n"/>
      <c r="G176" s="10" t="n"/>
      <c r="H176" s="10" t="n"/>
      <c r="I176" s="9">
        <f>IF(OR(G176="",H176=""),"",((H176-G176)*24))</f>
        <v/>
      </c>
    </row>
    <row r="177">
      <c r="A177" s="8" t="n"/>
      <c r="G177" s="10" t="n"/>
      <c r="H177" s="10" t="n"/>
      <c r="I177" s="9">
        <f>IF(OR(G177="",H177=""),"",((H177-G177)*24))</f>
        <v/>
      </c>
    </row>
    <row r="178">
      <c r="A178" s="8" t="n"/>
      <c r="G178" s="10" t="n"/>
      <c r="H178" s="10" t="n"/>
      <c r="I178" s="9">
        <f>IF(OR(G178="",H178=""),"",((H178-G178)*24))</f>
        <v/>
      </c>
    </row>
    <row r="179">
      <c r="A179" s="8" t="n"/>
      <c r="G179" s="10" t="n"/>
      <c r="H179" s="10" t="n"/>
      <c r="I179" s="9">
        <f>IF(OR(G179="",H179=""),"",((H179-G179)*24))</f>
        <v/>
      </c>
    </row>
    <row r="180">
      <c r="A180" s="8" t="n"/>
      <c r="G180" s="10" t="n"/>
      <c r="H180" s="10" t="n"/>
      <c r="I180" s="9">
        <f>IF(OR(G180="",H180=""),"",((H180-G180)*24))</f>
        <v/>
      </c>
    </row>
    <row r="181">
      <c r="A181" s="8" t="n"/>
      <c r="G181" s="10" t="n"/>
      <c r="H181" s="10" t="n"/>
      <c r="I181" s="9">
        <f>IF(OR(G181="",H181=""),"",((H181-G181)*24))</f>
        <v/>
      </c>
    </row>
    <row r="182">
      <c r="A182" s="8" t="n"/>
      <c r="G182" s="10" t="n"/>
      <c r="H182" s="10" t="n"/>
      <c r="I182" s="9">
        <f>IF(OR(G182="",H182=""),"",((H182-G182)*24))</f>
        <v/>
      </c>
    </row>
    <row r="183">
      <c r="A183" s="8" t="n"/>
      <c r="G183" s="10" t="n"/>
      <c r="H183" s="10" t="n"/>
      <c r="I183" s="9">
        <f>IF(OR(G183="",H183=""),"",((H183-G183)*24))</f>
        <v/>
      </c>
    </row>
    <row r="184">
      <c r="A184" s="8" t="n"/>
      <c r="G184" s="10" t="n"/>
      <c r="H184" s="10" t="n"/>
      <c r="I184" s="9">
        <f>IF(OR(G184="",H184=""),"",((H184-G184)*24))</f>
        <v/>
      </c>
    </row>
    <row r="185">
      <c r="A185" s="8" t="n"/>
      <c r="G185" s="10" t="n"/>
      <c r="H185" s="10" t="n"/>
      <c r="I185" s="9">
        <f>IF(OR(G185="",H185=""),"",((H185-G185)*24))</f>
        <v/>
      </c>
    </row>
    <row r="186">
      <c r="A186" s="8" t="n"/>
      <c r="G186" s="10" t="n"/>
      <c r="H186" s="10" t="n"/>
      <c r="I186" s="9">
        <f>IF(OR(G186="",H186=""),"",((H186-G186)*24))</f>
        <v/>
      </c>
    </row>
    <row r="187">
      <c r="A187" s="8" t="n"/>
      <c r="G187" s="10" t="n"/>
      <c r="H187" s="10" t="n"/>
      <c r="I187" s="9">
        <f>IF(OR(G187="",H187=""),"",((H187-G187)*24))</f>
        <v/>
      </c>
    </row>
    <row r="188">
      <c r="A188" s="8" t="n"/>
      <c r="G188" s="10" t="n"/>
      <c r="H188" s="10" t="n"/>
      <c r="I188" s="9">
        <f>IF(OR(G188="",H188=""),"",((H188-G188)*24))</f>
        <v/>
      </c>
    </row>
    <row r="189">
      <c r="A189" s="8" t="n"/>
      <c r="G189" s="10" t="n"/>
      <c r="H189" s="10" t="n"/>
      <c r="I189" s="9">
        <f>IF(OR(G189="",H189=""),"",((H189-G189)*24))</f>
        <v/>
      </c>
    </row>
    <row r="190">
      <c r="A190" s="8" t="n"/>
      <c r="G190" s="10" t="n"/>
      <c r="H190" s="10" t="n"/>
      <c r="I190" s="9">
        <f>IF(OR(G190="",H190=""),"",((H190-G190)*24))</f>
        <v/>
      </c>
    </row>
    <row r="191">
      <c r="A191" s="8" t="n"/>
      <c r="G191" s="10" t="n"/>
      <c r="H191" s="10" t="n"/>
      <c r="I191" s="9">
        <f>IF(OR(G191="",H191=""),"",((H191-G191)*24))</f>
        <v/>
      </c>
    </row>
    <row r="192">
      <c r="A192" s="8" t="n"/>
      <c r="G192" s="10" t="n"/>
      <c r="H192" s="10" t="n"/>
      <c r="I192" s="9">
        <f>IF(OR(G192="",H192=""),"",((H192-G192)*24))</f>
        <v/>
      </c>
    </row>
    <row r="193">
      <c r="A193" s="8" t="n"/>
      <c r="G193" s="10" t="n"/>
      <c r="H193" s="10" t="n"/>
      <c r="I193" s="9">
        <f>IF(OR(G193="",H193=""),"",((H193-G193)*24))</f>
        <v/>
      </c>
    </row>
    <row r="194">
      <c r="A194" s="8" t="n"/>
      <c r="G194" s="10" t="n"/>
      <c r="H194" s="10" t="n"/>
      <c r="I194" s="9">
        <f>IF(OR(G194="",H194=""),"",((H194-G194)*24))</f>
        <v/>
      </c>
    </row>
    <row r="195">
      <c r="A195" s="8" t="n"/>
      <c r="G195" s="10" t="n"/>
      <c r="H195" s="10" t="n"/>
      <c r="I195" s="9">
        <f>IF(OR(G195="",H195=""),"",((H195-G195)*24))</f>
        <v/>
      </c>
    </row>
    <row r="196">
      <c r="A196" s="8" t="n"/>
      <c r="G196" s="10" t="n"/>
      <c r="H196" s="10" t="n"/>
      <c r="I196" s="9">
        <f>IF(OR(G196="",H196=""),"",((H196-G196)*24))</f>
        <v/>
      </c>
    </row>
    <row r="197">
      <c r="A197" s="8" t="n"/>
      <c r="G197" s="10" t="n"/>
      <c r="H197" s="10" t="n"/>
      <c r="I197" s="9">
        <f>IF(OR(G197="",H197=""),"",((H197-G197)*24))</f>
        <v/>
      </c>
    </row>
    <row r="198">
      <c r="A198" s="8" t="n"/>
      <c r="G198" s="10" t="n"/>
      <c r="H198" s="10" t="n"/>
      <c r="I198" s="9">
        <f>IF(OR(G198="",H198=""),"",((H198-G198)*24))</f>
        <v/>
      </c>
    </row>
    <row r="199">
      <c r="A199" s="8" t="n"/>
      <c r="G199" s="10" t="n"/>
      <c r="H199" s="10" t="n"/>
      <c r="I199" s="9">
        <f>IF(OR(G199="",H199=""),"",((H199-G199)*24))</f>
        <v/>
      </c>
    </row>
    <row r="200">
      <c r="A200" s="8" t="n"/>
      <c r="G200" s="10" t="n"/>
      <c r="H200" s="10" t="n"/>
      <c r="I200" s="9">
        <f>IF(OR(G200="",H200=""),"",((H200-G200)*24))</f>
        <v/>
      </c>
    </row>
    <row r="201">
      <c r="A201" s="8" t="n"/>
      <c r="G201" s="10" t="n"/>
      <c r="H201" s="10" t="n"/>
      <c r="I201" s="9">
        <f>IF(OR(G201="",H201=""),"",((H201-G201)*24))</f>
        <v/>
      </c>
    </row>
    <row r="202">
      <c r="A202" s="8" t="n"/>
      <c r="G202" s="10" t="n"/>
      <c r="H202" s="10" t="n"/>
      <c r="I202" s="9">
        <f>IF(OR(G202="",H202=""),"",((H202-G202)*24))</f>
        <v/>
      </c>
    </row>
    <row r="203">
      <c r="A203" s="8" t="n"/>
      <c r="G203" s="10" t="n"/>
      <c r="H203" s="10" t="n"/>
      <c r="I203" s="9">
        <f>IF(OR(G203="",H203=""),"",((H203-G203)*24))</f>
        <v/>
      </c>
    </row>
    <row r="204">
      <c r="A204" s="8" t="n"/>
      <c r="G204" s="10" t="n"/>
      <c r="H204" s="10" t="n"/>
      <c r="I204" s="9">
        <f>IF(OR(G204="",H204=""),"",((H204-G204)*24))</f>
        <v/>
      </c>
    </row>
    <row r="205">
      <c r="A205" s="8" t="n"/>
      <c r="G205" s="10" t="n"/>
      <c r="H205" s="10" t="n"/>
      <c r="I205" s="9">
        <f>IF(OR(G205="",H205=""),"",((H205-G205)*24))</f>
        <v/>
      </c>
    </row>
    <row r="206">
      <c r="A206" s="8" t="n"/>
      <c r="G206" s="10" t="n"/>
      <c r="H206" s="10" t="n"/>
      <c r="I206" s="9">
        <f>IF(OR(G206="",H206=""),"",((H206-G206)*24))</f>
        <v/>
      </c>
    </row>
    <row r="207">
      <c r="A207" s="8" t="n"/>
      <c r="G207" s="10" t="n"/>
      <c r="H207" s="10" t="n"/>
      <c r="I207" s="9">
        <f>IF(OR(G207="",H207=""),"",((H207-G207)*24))</f>
        <v/>
      </c>
    </row>
    <row r="208">
      <c r="A208" s="8" t="n"/>
      <c r="G208" s="10" t="n"/>
      <c r="H208" s="10" t="n"/>
      <c r="I208" s="9">
        <f>IF(OR(G208="",H208=""),"",((H208-G208)*24))</f>
        <v/>
      </c>
    </row>
    <row r="209">
      <c r="A209" s="8" t="n"/>
      <c r="G209" s="10" t="n"/>
      <c r="H209" s="10" t="n"/>
      <c r="I209" s="9">
        <f>IF(OR(G209="",H209=""),"",((H209-G209)*24))</f>
        <v/>
      </c>
    </row>
    <row r="210">
      <c r="A210" s="8" t="n"/>
      <c r="G210" s="10" t="n"/>
      <c r="H210" s="10" t="n"/>
      <c r="I210" s="9">
        <f>IF(OR(G210="",H210=""),"",((H210-G210)*24))</f>
        <v/>
      </c>
    </row>
    <row r="211">
      <c r="A211" s="8" t="n"/>
      <c r="G211" s="10" t="n"/>
      <c r="H211" s="10" t="n"/>
      <c r="I211" s="9">
        <f>IF(OR(G211="",H211=""),"",((H211-G211)*24))</f>
        <v/>
      </c>
    </row>
    <row r="212">
      <c r="A212" s="8" t="n"/>
      <c r="G212" s="10" t="n"/>
      <c r="H212" s="10" t="n"/>
      <c r="I212" s="9">
        <f>IF(OR(G212="",H212=""),"",((H212-G212)*24))</f>
        <v/>
      </c>
    </row>
    <row r="213">
      <c r="A213" s="8" t="n"/>
      <c r="G213" s="10" t="n"/>
      <c r="H213" s="10" t="n"/>
      <c r="I213" s="9">
        <f>IF(OR(G213="",H213=""),"",((H213-G213)*24))</f>
        <v/>
      </c>
    </row>
    <row r="214">
      <c r="A214" s="8" t="n"/>
      <c r="G214" s="10" t="n"/>
      <c r="H214" s="10" t="n"/>
      <c r="I214" s="9">
        <f>IF(OR(G214="",H214=""),"",((H214-G214)*24))</f>
        <v/>
      </c>
    </row>
    <row r="215">
      <c r="A215" s="8" t="n"/>
      <c r="G215" s="10" t="n"/>
      <c r="H215" s="10" t="n"/>
      <c r="I215" s="9">
        <f>IF(OR(G215="",H215=""),"",((H215-G215)*24))</f>
        <v/>
      </c>
    </row>
    <row r="216">
      <c r="A216" s="8" t="n"/>
      <c r="G216" s="10" t="n"/>
      <c r="H216" s="10" t="n"/>
      <c r="I216" s="9">
        <f>IF(OR(G216="",H216=""),"",((H216-G216)*24))</f>
        <v/>
      </c>
    </row>
    <row r="217">
      <c r="A217" s="8" t="n"/>
      <c r="G217" s="10" t="n"/>
      <c r="H217" s="10" t="n"/>
      <c r="I217" s="9">
        <f>IF(OR(G217="",H217=""),"",((H217-G217)*24))</f>
        <v/>
      </c>
    </row>
    <row r="218">
      <c r="A218" s="8" t="n"/>
      <c r="G218" s="10" t="n"/>
      <c r="H218" s="10" t="n"/>
      <c r="I218" s="9">
        <f>IF(OR(G218="",H218=""),"",((H218-G218)*24))</f>
        <v/>
      </c>
    </row>
    <row r="219">
      <c r="A219" s="8" t="n"/>
      <c r="G219" s="10" t="n"/>
      <c r="H219" s="10" t="n"/>
      <c r="I219" s="9">
        <f>IF(OR(G219="",H219=""),"",((H219-G219)*24))</f>
        <v/>
      </c>
    </row>
    <row r="220">
      <c r="A220" s="8" t="n"/>
      <c r="G220" s="10" t="n"/>
      <c r="H220" s="10" t="n"/>
      <c r="I220" s="9">
        <f>IF(OR(G220="",H220=""),"",((H220-G220)*24))</f>
        <v/>
      </c>
    </row>
    <row r="221">
      <c r="A221" s="8" t="n"/>
      <c r="G221" s="10" t="n"/>
      <c r="H221" s="10" t="n"/>
      <c r="I221" s="9">
        <f>IF(OR(G221="",H221=""),"",((H221-G221)*24))</f>
        <v/>
      </c>
    </row>
    <row r="222">
      <c r="A222" s="8" t="n"/>
      <c r="G222" s="10" t="n"/>
      <c r="H222" s="10" t="n"/>
      <c r="I222" s="9">
        <f>IF(OR(G222="",H222=""),"",((H222-G222)*24))</f>
        <v/>
      </c>
    </row>
    <row r="223">
      <c r="A223" s="8" t="n"/>
      <c r="G223" s="10" t="n"/>
      <c r="H223" s="10" t="n"/>
      <c r="I223" s="9">
        <f>IF(OR(G223="",H223=""),"",((H223-G223)*24))</f>
        <v/>
      </c>
    </row>
    <row r="224">
      <c r="A224" s="8" t="n"/>
      <c r="G224" s="10" t="n"/>
      <c r="H224" s="10" t="n"/>
      <c r="I224" s="9">
        <f>IF(OR(G224="",H224=""),"",((H224-G224)*24))</f>
        <v/>
      </c>
    </row>
    <row r="225">
      <c r="A225" s="8" t="n"/>
      <c r="G225" s="10" t="n"/>
      <c r="H225" s="10" t="n"/>
      <c r="I225" s="9">
        <f>IF(OR(G225="",H225=""),"",((H225-G225)*24))</f>
        <v/>
      </c>
    </row>
    <row r="226">
      <c r="A226" s="8" t="n"/>
      <c r="G226" s="10" t="n"/>
      <c r="H226" s="10" t="n"/>
      <c r="I226" s="9">
        <f>IF(OR(G226="",H226=""),"",((H226-G226)*24))</f>
        <v/>
      </c>
    </row>
    <row r="227">
      <c r="A227" s="8" t="n"/>
      <c r="G227" s="10" t="n"/>
      <c r="H227" s="10" t="n"/>
      <c r="I227" s="9">
        <f>IF(OR(G227="",H227=""),"",((H227-G227)*24))</f>
        <v/>
      </c>
    </row>
    <row r="228">
      <c r="A228" s="8" t="n"/>
      <c r="G228" s="10" t="n"/>
      <c r="H228" s="10" t="n"/>
      <c r="I228" s="9">
        <f>IF(OR(G228="",H228=""),"",((H228-G228)*24))</f>
        <v/>
      </c>
    </row>
    <row r="229">
      <c r="A229" s="8" t="n"/>
      <c r="G229" s="10" t="n"/>
      <c r="H229" s="10" t="n"/>
      <c r="I229" s="9">
        <f>IF(OR(G229="",H229=""),"",((H229-G229)*24))</f>
        <v/>
      </c>
    </row>
    <row r="230">
      <c r="A230" s="8" t="n"/>
      <c r="G230" s="10" t="n"/>
      <c r="H230" s="10" t="n"/>
      <c r="I230" s="9">
        <f>IF(OR(G230="",H230=""),"",((H230-G230)*24))</f>
        <v/>
      </c>
    </row>
    <row r="231">
      <c r="A231" s="8" t="n"/>
      <c r="G231" s="10" t="n"/>
      <c r="H231" s="10" t="n"/>
      <c r="I231" s="9">
        <f>IF(OR(G231="",H231=""),"",((H231-G231)*24))</f>
        <v/>
      </c>
    </row>
    <row r="232">
      <c r="A232" s="8" t="n"/>
      <c r="G232" s="10" t="n"/>
      <c r="H232" s="10" t="n"/>
      <c r="I232" s="9">
        <f>IF(OR(G232="",H232=""),"",((H232-G232)*24))</f>
        <v/>
      </c>
    </row>
    <row r="233">
      <c r="A233" s="8" t="n"/>
      <c r="G233" s="10" t="n"/>
      <c r="H233" s="10" t="n"/>
      <c r="I233" s="9">
        <f>IF(OR(G233="",H233=""),"",((H233-G233)*24))</f>
        <v/>
      </c>
    </row>
    <row r="234">
      <c r="A234" s="8" t="n"/>
      <c r="G234" s="10" t="n"/>
      <c r="H234" s="10" t="n"/>
      <c r="I234" s="9">
        <f>IF(OR(G234="",H234=""),"",((H234-G234)*24))</f>
        <v/>
      </c>
    </row>
    <row r="235">
      <c r="A235" s="8" t="n"/>
      <c r="G235" s="10" t="n"/>
      <c r="H235" s="10" t="n"/>
      <c r="I235" s="9">
        <f>IF(OR(G235="",H235=""),"",((H235-G235)*24))</f>
        <v/>
      </c>
    </row>
    <row r="236">
      <c r="A236" s="8" t="n"/>
      <c r="G236" s="10" t="n"/>
      <c r="H236" s="10" t="n"/>
      <c r="I236" s="9">
        <f>IF(OR(G236="",H236=""),"",((H236-G236)*24))</f>
        <v/>
      </c>
    </row>
    <row r="237">
      <c r="A237" s="8" t="n"/>
      <c r="G237" s="10" t="n"/>
      <c r="H237" s="10" t="n"/>
      <c r="I237" s="9">
        <f>IF(OR(G237="",H237=""),"",((H237-G237)*24))</f>
        <v/>
      </c>
    </row>
    <row r="238">
      <c r="A238" s="8" t="n"/>
      <c r="G238" s="10" t="n"/>
      <c r="H238" s="10" t="n"/>
      <c r="I238" s="9">
        <f>IF(OR(G238="",H238=""),"",((H238-G238)*24))</f>
        <v/>
      </c>
    </row>
    <row r="239">
      <c r="A239" s="8" t="n"/>
      <c r="G239" s="10" t="n"/>
      <c r="H239" s="10" t="n"/>
      <c r="I239" s="9">
        <f>IF(OR(G239="",H239=""),"",((H239-G239)*24))</f>
        <v/>
      </c>
    </row>
    <row r="240">
      <c r="A240" s="8" t="n"/>
      <c r="G240" s="10" t="n"/>
      <c r="H240" s="10" t="n"/>
      <c r="I240" s="9">
        <f>IF(OR(G240="",H240=""),"",((H240-G240)*24))</f>
        <v/>
      </c>
    </row>
    <row r="241">
      <c r="A241" s="8" t="n"/>
      <c r="G241" s="10" t="n"/>
      <c r="H241" s="10" t="n"/>
      <c r="I241" s="9">
        <f>IF(OR(G241="",H241=""),"",((H241-G241)*24))</f>
        <v/>
      </c>
    </row>
    <row r="242">
      <c r="A242" s="8" t="n"/>
      <c r="G242" s="10" t="n"/>
      <c r="H242" s="10" t="n"/>
      <c r="I242" s="9">
        <f>IF(OR(G242="",H242=""),"",((H242-G242)*24))</f>
        <v/>
      </c>
    </row>
    <row r="243">
      <c r="A243" s="8" t="n"/>
      <c r="G243" s="10" t="n"/>
      <c r="H243" s="10" t="n"/>
      <c r="I243" s="9">
        <f>IF(OR(G243="",H243=""),"",((H243-G243)*24))</f>
        <v/>
      </c>
    </row>
    <row r="244">
      <c r="A244" s="8" t="n"/>
      <c r="G244" s="10" t="n"/>
      <c r="H244" s="10" t="n"/>
      <c r="I244" s="9">
        <f>IF(OR(G244="",H244=""),"",((H244-G244)*24))</f>
        <v/>
      </c>
    </row>
    <row r="245">
      <c r="A245" s="8" t="n"/>
      <c r="G245" s="10" t="n"/>
      <c r="H245" s="10" t="n"/>
      <c r="I245" s="9">
        <f>IF(OR(G245="",H245=""),"",((H245-G245)*24))</f>
        <v/>
      </c>
    </row>
    <row r="246">
      <c r="A246" s="8" t="n"/>
      <c r="G246" s="10" t="n"/>
      <c r="H246" s="10" t="n"/>
      <c r="I246" s="9">
        <f>IF(OR(G246="",H246=""),"",((H246-G246)*24))</f>
        <v/>
      </c>
    </row>
    <row r="247">
      <c r="A247" s="8" t="n"/>
      <c r="G247" s="10" t="n"/>
      <c r="H247" s="10" t="n"/>
      <c r="I247" s="9">
        <f>IF(OR(G247="",H247=""),"",((H247-G247)*24))</f>
        <v/>
      </c>
    </row>
    <row r="248">
      <c r="A248" s="8" t="n"/>
      <c r="G248" s="10" t="n"/>
      <c r="H248" s="10" t="n"/>
      <c r="I248" s="9">
        <f>IF(OR(G248="",H248=""),"",((H248-G248)*24))</f>
        <v/>
      </c>
    </row>
    <row r="249">
      <c r="A249" s="8" t="n"/>
      <c r="G249" s="10" t="n"/>
      <c r="H249" s="10" t="n"/>
      <c r="I249" s="9">
        <f>IF(OR(G249="",H249=""),"",((H249-G249)*24))</f>
        <v/>
      </c>
    </row>
    <row r="250">
      <c r="A250" s="8" t="n"/>
      <c r="G250" s="10" t="n"/>
      <c r="H250" s="10" t="n"/>
      <c r="I250" s="9">
        <f>IF(OR(G250="",H250=""),"",((H250-G250)*24))</f>
        <v/>
      </c>
    </row>
    <row r="251">
      <c r="A251" s="8" t="n"/>
      <c r="G251" s="10" t="n"/>
      <c r="H251" s="10" t="n"/>
      <c r="I251" s="9">
        <f>IF(OR(G251="",H251=""),"",((H251-G251)*24))</f>
        <v/>
      </c>
    </row>
    <row r="252">
      <c r="A252" s="8" t="n"/>
      <c r="G252" s="10" t="n"/>
      <c r="H252" s="10" t="n"/>
      <c r="I252" s="9">
        <f>IF(OR(G252="",H252=""),"",((H252-G252)*24))</f>
        <v/>
      </c>
    </row>
    <row r="253">
      <c r="A253" s="8" t="n"/>
      <c r="G253" s="10" t="n"/>
      <c r="H253" s="10" t="n"/>
      <c r="I253" s="9">
        <f>IF(OR(G253="",H253=""),"",((H253-G253)*24))</f>
        <v/>
      </c>
    </row>
    <row r="254">
      <c r="A254" s="8" t="n"/>
      <c r="G254" s="10" t="n"/>
      <c r="H254" s="10" t="n"/>
      <c r="I254" s="9">
        <f>IF(OR(G254="",H254=""),"",((H254-G254)*24))</f>
        <v/>
      </c>
    </row>
    <row r="255">
      <c r="A255" s="8" t="n"/>
      <c r="G255" s="10" t="n"/>
      <c r="H255" s="10" t="n"/>
      <c r="I255" s="9">
        <f>IF(OR(G255="",H255=""),"",((H255-G255)*24))</f>
        <v/>
      </c>
    </row>
    <row r="256">
      <c r="A256" s="8" t="n"/>
      <c r="G256" s="10" t="n"/>
      <c r="H256" s="10" t="n"/>
      <c r="I256" s="9">
        <f>IF(OR(G256="",H256=""),"",((H256-G256)*24))</f>
        <v/>
      </c>
    </row>
    <row r="257">
      <c r="A257" s="8" t="n"/>
      <c r="G257" s="10" t="n"/>
      <c r="H257" s="10" t="n"/>
      <c r="I257" s="9">
        <f>IF(OR(G257="",H257=""),"",((H257-G257)*24))</f>
        <v/>
      </c>
    </row>
    <row r="258">
      <c r="A258" s="8" t="n"/>
      <c r="G258" s="10" t="n"/>
      <c r="H258" s="10" t="n"/>
      <c r="I258" s="9">
        <f>IF(OR(G258="",H258=""),"",((H258-G258)*24))</f>
        <v/>
      </c>
    </row>
    <row r="259">
      <c r="A259" s="8" t="n"/>
      <c r="G259" s="10" t="n"/>
      <c r="H259" s="10" t="n"/>
      <c r="I259" s="9">
        <f>IF(OR(G259="",H259=""),"",((H259-G259)*24))</f>
        <v/>
      </c>
    </row>
    <row r="260">
      <c r="A260" s="8" t="n"/>
      <c r="G260" s="10" t="n"/>
      <c r="H260" s="10" t="n"/>
      <c r="I260" s="9">
        <f>IF(OR(G260="",H260=""),"",((H260-G260)*24))</f>
        <v/>
      </c>
    </row>
    <row r="261">
      <c r="A261" s="8" t="n"/>
      <c r="G261" s="10" t="n"/>
      <c r="H261" s="10" t="n"/>
      <c r="I261" s="9">
        <f>IF(OR(G261="",H261=""),"",((H261-G261)*24))</f>
        <v/>
      </c>
    </row>
    <row r="262">
      <c r="A262" s="8" t="n"/>
      <c r="G262" s="10" t="n"/>
      <c r="H262" s="10" t="n"/>
      <c r="I262" s="9">
        <f>IF(OR(G262="",H262=""),"",((H262-G262)*24))</f>
        <v/>
      </c>
    </row>
    <row r="263">
      <c r="A263" s="8" t="n"/>
      <c r="G263" s="10" t="n"/>
      <c r="H263" s="10" t="n"/>
      <c r="I263" s="9">
        <f>IF(OR(G263="",H263=""),"",((H263-G263)*24))</f>
        <v/>
      </c>
    </row>
    <row r="264">
      <c r="A264" s="8" t="n"/>
      <c r="G264" s="10" t="n"/>
      <c r="H264" s="10" t="n"/>
      <c r="I264" s="9">
        <f>IF(OR(G264="",H264=""),"",((H264-G264)*24))</f>
        <v/>
      </c>
    </row>
    <row r="265">
      <c r="A265" s="8" t="n"/>
      <c r="G265" s="10" t="n"/>
      <c r="H265" s="10" t="n"/>
      <c r="I265" s="9">
        <f>IF(OR(G265="",H265=""),"",((H265-G265)*24))</f>
        <v/>
      </c>
    </row>
    <row r="266">
      <c r="A266" s="8" t="n"/>
      <c r="G266" s="10" t="n"/>
      <c r="H266" s="10" t="n"/>
      <c r="I266" s="9">
        <f>IF(OR(G266="",H266=""),"",((H266-G266)*24))</f>
        <v/>
      </c>
    </row>
    <row r="267">
      <c r="A267" s="8" t="n"/>
      <c r="G267" s="10" t="n"/>
      <c r="H267" s="10" t="n"/>
      <c r="I267" s="9">
        <f>IF(OR(G267="",H267=""),"",((H267-G267)*24))</f>
        <v/>
      </c>
    </row>
    <row r="268">
      <c r="A268" s="8" t="n"/>
      <c r="G268" s="10" t="n"/>
      <c r="H268" s="10" t="n"/>
      <c r="I268" s="9">
        <f>IF(OR(G268="",H268=""),"",((H268-G268)*24))</f>
        <v/>
      </c>
    </row>
    <row r="269">
      <c r="A269" s="8" t="n"/>
      <c r="G269" s="10" t="n"/>
      <c r="H269" s="10" t="n"/>
      <c r="I269" s="9">
        <f>IF(OR(G269="",H269=""),"",((H269-G269)*24))</f>
        <v/>
      </c>
    </row>
    <row r="270">
      <c r="A270" s="8" t="n"/>
      <c r="G270" s="10" t="n"/>
      <c r="H270" s="10" t="n"/>
      <c r="I270" s="9">
        <f>IF(OR(G270="",H270=""),"",((H270-G270)*24))</f>
        <v/>
      </c>
    </row>
    <row r="271">
      <c r="A271" s="8" t="n"/>
      <c r="G271" s="10" t="n"/>
      <c r="H271" s="10" t="n"/>
      <c r="I271" s="9">
        <f>IF(OR(G271="",H271=""),"",((H271-G271)*24))</f>
        <v/>
      </c>
    </row>
    <row r="272">
      <c r="A272" s="8" t="n"/>
      <c r="G272" s="10" t="n"/>
      <c r="H272" s="10" t="n"/>
      <c r="I272" s="9">
        <f>IF(OR(G272="",H272=""),"",((H272-G272)*24))</f>
        <v/>
      </c>
    </row>
    <row r="273">
      <c r="A273" s="8" t="n"/>
      <c r="G273" s="10" t="n"/>
      <c r="H273" s="10" t="n"/>
      <c r="I273" s="9">
        <f>IF(OR(G273="",H273=""),"",((H273-G273)*24))</f>
        <v/>
      </c>
    </row>
    <row r="274">
      <c r="A274" s="8" t="n"/>
      <c r="G274" s="10" t="n"/>
      <c r="H274" s="10" t="n"/>
      <c r="I274" s="9">
        <f>IF(OR(G274="",H274=""),"",((H274-G274)*24))</f>
        <v/>
      </c>
    </row>
    <row r="275">
      <c r="A275" s="8" t="n"/>
      <c r="G275" s="10" t="n"/>
      <c r="H275" s="10" t="n"/>
      <c r="I275" s="9">
        <f>IF(OR(G275="",H275=""),"",((H275-G275)*24))</f>
        <v/>
      </c>
    </row>
    <row r="276">
      <c r="A276" s="8" t="n"/>
      <c r="G276" s="10" t="n"/>
      <c r="H276" s="10" t="n"/>
      <c r="I276" s="9">
        <f>IF(OR(G276="",H276=""),"",((H276-G276)*24))</f>
        <v/>
      </c>
    </row>
    <row r="277">
      <c r="A277" s="8" t="n"/>
      <c r="G277" s="10" t="n"/>
      <c r="H277" s="10" t="n"/>
      <c r="I277" s="9">
        <f>IF(OR(G277="",H277=""),"",((H277-G277)*24))</f>
        <v/>
      </c>
    </row>
    <row r="278">
      <c r="A278" s="8" t="n"/>
      <c r="G278" s="10" t="n"/>
      <c r="H278" s="10" t="n"/>
      <c r="I278" s="9">
        <f>IF(OR(G278="",H278=""),"",((H278-G278)*24))</f>
        <v/>
      </c>
    </row>
    <row r="279">
      <c r="A279" s="8" t="n"/>
      <c r="G279" s="10" t="n"/>
      <c r="H279" s="10" t="n"/>
      <c r="I279" s="9">
        <f>IF(OR(G279="",H279=""),"",((H279-G279)*24))</f>
        <v/>
      </c>
    </row>
    <row r="280">
      <c r="A280" s="8" t="n"/>
      <c r="G280" s="10" t="n"/>
      <c r="H280" s="10" t="n"/>
      <c r="I280" s="9">
        <f>IF(OR(G280="",H280=""),"",((H280-G280)*24))</f>
        <v/>
      </c>
    </row>
    <row r="281">
      <c r="A281" s="8" t="n"/>
      <c r="G281" s="10" t="n"/>
      <c r="H281" s="10" t="n"/>
      <c r="I281" s="9">
        <f>IF(OR(G281="",H281=""),"",((H281-G281)*24))</f>
        <v/>
      </c>
    </row>
    <row r="282">
      <c r="A282" s="8" t="n"/>
      <c r="G282" s="10" t="n"/>
      <c r="H282" s="10" t="n"/>
      <c r="I282" s="9">
        <f>IF(OR(G282="",H282=""),"",((H282-G282)*24))</f>
        <v/>
      </c>
    </row>
    <row r="283">
      <c r="A283" s="8" t="n"/>
      <c r="G283" s="10" t="n"/>
      <c r="H283" s="10" t="n"/>
      <c r="I283" s="9">
        <f>IF(OR(G283="",H283=""),"",((H283-G283)*24))</f>
        <v/>
      </c>
    </row>
    <row r="284">
      <c r="A284" s="8" t="n"/>
      <c r="G284" s="10" t="n"/>
      <c r="H284" s="10" t="n"/>
      <c r="I284" s="9">
        <f>IF(OR(G284="",H284=""),"",((H284-G284)*24))</f>
        <v/>
      </c>
    </row>
    <row r="285">
      <c r="A285" s="8" t="n"/>
      <c r="G285" s="10" t="n"/>
      <c r="H285" s="10" t="n"/>
      <c r="I285" s="9">
        <f>IF(OR(G285="",H285=""),"",((H285-G285)*24))</f>
        <v/>
      </c>
    </row>
    <row r="286">
      <c r="A286" s="8" t="n"/>
      <c r="G286" s="10" t="n"/>
      <c r="H286" s="10" t="n"/>
      <c r="I286" s="9">
        <f>IF(OR(G286="",H286=""),"",((H286-G286)*24))</f>
        <v/>
      </c>
    </row>
    <row r="287">
      <c r="A287" s="8" t="n"/>
      <c r="G287" s="10" t="n"/>
      <c r="H287" s="10" t="n"/>
      <c r="I287" s="9">
        <f>IF(OR(G287="",H287=""),"",((H287-G287)*24))</f>
        <v/>
      </c>
    </row>
    <row r="288">
      <c r="A288" s="8" t="n"/>
      <c r="G288" s="10" t="n"/>
      <c r="H288" s="10" t="n"/>
      <c r="I288" s="9">
        <f>IF(OR(G288="",H288=""),"",((H288-G288)*24))</f>
        <v/>
      </c>
    </row>
    <row r="289">
      <c r="A289" s="8" t="n"/>
      <c r="G289" s="10" t="n"/>
      <c r="H289" s="10" t="n"/>
      <c r="I289" s="9">
        <f>IF(OR(G289="",H289=""),"",((H289-G289)*24))</f>
        <v/>
      </c>
    </row>
    <row r="290">
      <c r="A290" s="8" t="n"/>
      <c r="G290" s="10" t="n"/>
      <c r="H290" s="10" t="n"/>
      <c r="I290" s="9">
        <f>IF(OR(G290="",H290=""),"",((H290-G290)*24))</f>
        <v/>
      </c>
    </row>
    <row r="291">
      <c r="A291" s="8" t="n"/>
      <c r="G291" s="10" t="n"/>
      <c r="H291" s="10" t="n"/>
      <c r="I291" s="9">
        <f>IF(OR(G291="",H291=""),"",((H291-G291)*24))</f>
        <v/>
      </c>
    </row>
    <row r="292">
      <c r="A292" s="8" t="n"/>
      <c r="G292" s="10" t="n"/>
      <c r="H292" s="10" t="n"/>
      <c r="I292" s="9">
        <f>IF(OR(G292="",H292=""),"",((H292-G292)*24))</f>
        <v/>
      </c>
    </row>
    <row r="293">
      <c r="A293" s="8" t="n"/>
      <c r="G293" s="10" t="n"/>
      <c r="H293" s="10" t="n"/>
      <c r="I293" s="9">
        <f>IF(OR(G293="",H293=""),"",((H293-G293)*24))</f>
        <v/>
      </c>
    </row>
    <row r="294">
      <c r="A294" s="8" t="n"/>
      <c r="G294" s="10" t="n"/>
      <c r="H294" s="10" t="n"/>
      <c r="I294" s="9">
        <f>IF(OR(G294="",H294=""),"",((H294-G294)*24))</f>
        <v/>
      </c>
    </row>
    <row r="295">
      <c r="A295" s="8" t="n"/>
      <c r="G295" s="10" t="n"/>
      <c r="H295" s="10" t="n"/>
      <c r="I295" s="9">
        <f>IF(OR(G295="",H295=""),"",((H295-G295)*24))</f>
        <v/>
      </c>
    </row>
    <row r="296">
      <c r="A296" s="8" t="n"/>
      <c r="G296" s="10" t="n"/>
      <c r="H296" s="10" t="n"/>
      <c r="I296" s="9">
        <f>IF(OR(G296="",H296=""),"",((H296-G296)*24))</f>
        <v/>
      </c>
    </row>
    <row r="297">
      <c r="A297" s="8" t="n"/>
      <c r="G297" s="10" t="n"/>
      <c r="H297" s="10" t="n"/>
      <c r="I297" s="9">
        <f>IF(OR(G297="",H297=""),"",((H297-G297)*24))</f>
        <v/>
      </c>
    </row>
    <row r="298">
      <c r="A298" s="8" t="n"/>
      <c r="G298" s="10" t="n"/>
      <c r="H298" s="10" t="n"/>
      <c r="I298" s="9">
        <f>IF(OR(G298="",H298=""),"",((H298-G298)*24))</f>
        <v/>
      </c>
    </row>
    <row r="299">
      <c r="A299" s="8" t="n"/>
      <c r="G299" s="10" t="n"/>
      <c r="H299" s="10" t="n"/>
      <c r="I299" s="9">
        <f>IF(OR(G299="",H299=""),"",((H299-G299)*24))</f>
        <v/>
      </c>
    </row>
    <row r="300">
      <c r="A300" s="8" t="n"/>
      <c r="G300" s="10" t="n"/>
      <c r="H300" s="10" t="n"/>
      <c r="I300" s="9">
        <f>IF(OR(G300="",H300=""),"",((H300-G300)*24))</f>
        <v/>
      </c>
    </row>
    <row r="301">
      <c r="A301" s="8" t="n"/>
      <c r="G301" s="10" t="n"/>
      <c r="H301" s="10" t="n"/>
      <c r="I301" s="9">
        <f>IF(OR(G301="",H301=""),"",((H301-G301)*24))</f>
        <v/>
      </c>
    </row>
    <row r="302">
      <c r="A302" s="8" t="n"/>
      <c r="G302" s="10" t="n"/>
      <c r="H302" s="10" t="n"/>
      <c r="I302" s="9">
        <f>IF(OR(G302="",H302=""),"",((H302-G302)*24))</f>
        <v/>
      </c>
    </row>
    <row r="303">
      <c r="A303" s="8" t="n"/>
      <c r="G303" s="10" t="n"/>
      <c r="H303" s="10" t="n"/>
      <c r="I303" s="9">
        <f>IF(OR(G303="",H303=""),"",((H303-G303)*24))</f>
        <v/>
      </c>
    </row>
    <row r="304">
      <c r="A304" s="8" t="n"/>
      <c r="G304" s="10" t="n"/>
      <c r="H304" s="10" t="n"/>
      <c r="I304" s="9">
        <f>IF(OR(G304="",H304=""),"",((H304-G304)*24))</f>
        <v/>
      </c>
    </row>
    <row r="305">
      <c r="A305" s="8" t="n"/>
      <c r="G305" s="10" t="n"/>
      <c r="H305" s="10" t="n"/>
      <c r="I305" s="9">
        <f>IF(OR(G305="",H305=""),"",((H305-G305)*24))</f>
        <v/>
      </c>
    </row>
    <row r="306">
      <c r="A306" s="8" t="n"/>
      <c r="G306" s="10" t="n"/>
      <c r="H306" s="10" t="n"/>
      <c r="I306" s="9">
        <f>IF(OR(G306="",H306=""),"",((H306-G306)*24))</f>
        <v/>
      </c>
    </row>
    <row r="307">
      <c r="A307" s="8" t="n"/>
      <c r="G307" s="10" t="n"/>
      <c r="H307" s="10" t="n"/>
      <c r="I307" s="9">
        <f>IF(OR(G307="",H307=""),"",((H307-G307)*24))</f>
        <v/>
      </c>
    </row>
    <row r="308">
      <c r="A308" s="8" t="n"/>
      <c r="G308" s="10" t="n"/>
      <c r="H308" s="10" t="n"/>
      <c r="I308" s="9">
        <f>IF(OR(G308="",H308=""),"",((H308-G308)*24))</f>
        <v/>
      </c>
    </row>
    <row r="309">
      <c r="A309" s="8" t="n"/>
      <c r="G309" s="10" t="n"/>
      <c r="H309" s="10" t="n"/>
      <c r="I309" s="9">
        <f>IF(OR(G309="",H309=""),"",((H309-G309)*24))</f>
        <v/>
      </c>
    </row>
    <row r="310">
      <c r="A310" s="8" t="n"/>
      <c r="G310" s="10" t="n"/>
      <c r="H310" s="10" t="n"/>
      <c r="I310" s="9">
        <f>IF(OR(G310="",H310=""),"",((H310-G310)*24))</f>
        <v/>
      </c>
    </row>
    <row r="311">
      <c r="A311" s="8" t="n"/>
      <c r="G311" s="10" t="n"/>
      <c r="H311" s="10" t="n"/>
      <c r="I311" s="9">
        <f>IF(OR(G311="",H311=""),"",((H311-G311)*24))</f>
        <v/>
      </c>
    </row>
    <row r="312">
      <c r="A312" s="8" t="n"/>
      <c r="G312" s="10" t="n"/>
      <c r="H312" s="10" t="n"/>
      <c r="I312" s="9">
        <f>IF(OR(G312="",H312=""),"",((H312-G312)*24))</f>
        <v/>
      </c>
    </row>
    <row r="313">
      <c r="A313" s="8" t="n"/>
      <c r="G313" s="10" t="n"/>
      <c r="H313" s="10" t="n"/>
      <c r="I313" s="9">
        <f>IF(OR(G313="",H313=""),"",((H313-G313)*24))</f>
        <v/>
      </c>
    </row>
    <row r="314">
      <c r="A314" s="8" t="n"/>
      <c r="G314" s="10" t="n"/>
      <c r="H314" s="10" t="n"/>
      <c r="I314" s="9">
        <f>IF(OR(G314="",H314=""),"",((H314-G314)*24))</f>
        <v/>
      </c>
    </row>
    <row r="315">
      <c r="A315" s="8" t="n"/>
      <c r="G315" s="10" t="n"/>
      <c r="H315" s="10" t="n"/>
      <c r="I315" s="9">
        <f>IF(OR(G315="",H315=""),"",((H315-G315)*24))</f>
        <v/>
      </c>
    </row>
    <row r="316">
      <c r="A316" s="8" t="n"/>
      <c r="G316" s="10" t="n"/>
      <c r="H316" s="10" t="n"/>
      <c r="I316" s="9">
        <f>IF(OR(G316="",H316=""),"",((H316-G316)*24))</f>
        <v/>
      </c>
    </row>
    <row r="317">
      <c r="A317" s="8" t="n"/>
      <c r="G317" s="10" t="n"/>
      <c r="H317" s="10" t="n"/>
      <c r="I317" s="9">
        <f>IF(OR(G317="",H317=""),"",((H317-G317)*24))</f>
        <v/>
      </c>
    </row>
    <row r="318">
      <c r="A318" s="8" t="n"/>
      <c r="G318" s="10" t="n"/>
      <c r="H318" s="10" t="n"/>
      <c r="I318" s="9">
        <f>IF(OR(G318="",H318=""),"",((H318-G318)*24))</f>
        <v/>
      </c>
    </row>
    <row r="319">
      <c r="A319" s="8" t="n"/>
      <c r="G319" s="10" t="n"/>
      <c r="H319" s="10" t="n"/>
      <c r="I319" s="9">
        <f>IF(OR(G319="",H319=""),"",((H319-G319)*24))</f>
        <v/>
      </c>
    </row>
    <row r="320">
      <c r="A320" s="8" t="n"/>
      <c r="G320" s="10" t="n"/>
      <c r="H320" s="10" t="n"/>
      <c r="I320" s="9">
        <f>IF(OR(G320="",H320=""),"",((H320-G320)*24))</f>
        <v/>
      </c>
    </row>
    <row r="321">
      <c r="A321" s="8" t="n"/>
      <c r="G321" s="10" t="n"/>
      <c r="H321" s="10" t="n"/>
      <c r="I321" s="9">
        <f>IF(OR(G321="",H321=""),"",((H321-G321)*24))</f>
        <v/>
      </c>
    </row>
    <row r="322">
      <c r="A322" s="8" t="n"/>
      <c r="G322" s="10" t="n"/>
      <c r="H322" s="10" t="n"/>
      <c r="I322" s="9">
        <f>IF(OR(G322="",H322=""),"",((H322-G322)*24))</f>
        <v/>
      </c>
    </row>
    <row r="323">
      <c r="A323" s="8" t="n"/>
      <c r="G323" s="10" t="n"/>
      <c r="H323" s="10" t="n"/>
      <c r="I323" s="9">
        <f>IF(OR(G323="",H323=""),"",((H323-G323)*24))</f>
        <v/>
      </c>
    </row>
    <row r="324">
      <c r="A324" s="8" t="n"/>
      <c r="G324" s="10" t="n"/>
      <c r="H324" s="10" t="n"/>
      <c r="I324" s="9">
        <f>IF(OR(G324="",H324=""),"",((H324-G324)*24))</f>
        <v/>
      </c>
    </row>
    <row r="325">
      <c r="A325" s="8" t="n"/>
      <c r="G325" s="10" t="n"/>
      <c r="H325" s="10" t="n"/>
      <c r="I325" s="9">
        <f>IF(OR(G325="",H325=""),"",((H325-G325)*24))</f>
        <v/>
      </c>
    </row>
    <row r="326">
      <c r="A326" s="8" t="n"/>
      <c r="G326" s="10" t="n"/>
      <c r="H326" s="10" t="n"/>
      <c r="I326" s="9">
        <f>IF(OR(G326="",H326=""),"",((H326-G326)*24))</f>
        <v/>
      </c>
    </row>
    <row r="327">
      <c r="A327" s="8" t="n"/>
      <c r="G327" s="10" t="n"/>
      <c r="H327" s="10" t="n"/>
      <c r="I327" s="9">
        <f>IF(OR(G327="",H327=""),"",((H327-G327)*24))</f>
        <v/>
      </c>
    </row>
    <row r="328">
      <c r="A328" s="8" t="n"/>
      <c r="G328" s="10" t="n"/>
      <c r="H328" s="10" t="n"/>
      <c r="I328" s="9">
        <f>IF(OR(G328="",H328=""),"",((H328-G328)*24))</f>
        <v/>
      </c>
    </row>
    <row r="329">
      <c r="A329" s="8" t="n"/>
      <c r="G329" s="10" t="n"/>
      <c r="H329" s="10" t="n"/>
      <c r="I329" s="9">
        <f>IF(OR(G329="",H329=""),"",((H329-G329)*24))</f>
        <v/>
      </c>
    </row>
    <row r="330">
      <c r="A330" s="8" t="n"/>
      <c r="G330" s="10" t="n"/>
      <c r="H330" s="10" t="n"/>
      <c r="I330" s="9">
        <f>IF(OR(G330="",H330=""),"",((H330-G330)*24))</f>
        <v/>
      </c>
    </row>
    <row r="331">
      <c r="A331" s="8" t="n"/>
      <c r="G331" s="10" t="n"/>
      <c r="H331" s="10" t="n"/>
      <c r="I331" s="9">
        <f>IF(OR(G331="",H331=""),"",((H331-G331)*24))</f>
        <v/>
      </c>
    </row>
    <row r="332">
      <c r="A332" s="8" t="n"/>
      <c r="G332" s="10" t="n"/>
      <c r="H332" s="10" t="n"/>
      <c r="I332" s="9">
        <f>IF(OR(G332="",H332=""),"",((H332-G332)*24))</f>
        <v/>
      </c>
    </row>
    <row r="333">
      <c r="A333" s="8" t="n"/>
      <c r="G333" s="10" t="n"/>
      <c r="H333" s="10" t="n"/>
      <c r="I333" s="9">
        <f>IF(OR(G333="",H333=""),"",((H333-G333)*24))</f>
        <v/>
      </c>
    </row>
    <row r="334">
      <c r="A334" s="8" t="n"/>
      <c r="G334" s="10" t="n"/>
      <c r="H334" s="10" t="n"/>
      <c r="I334" s="9">
        <f>IF(OR(G334="",H334=""),"",((H334-G334)*24))</f>
        <v/>
      </c>
    </row>
    <row r="335">
      <c r="A335" s="8" t="n"/>
      <c r="G335" s="10" t="n"/>
      <c r="H335" s="10" t="n"/>
      <c r="I335" s="9">
        <f>IF(OR(G335="",H335=""),"",((H335-G335)*24))</f>
        <v/>
      </c>
    </row>
    <row r="336">
      <c r="A336" s="8" t="n"/>
      <c r="G336" s="10" t="n"/>
      <c r="H336" s="10" t="n"/>
      <c r="I336" s="9">
        <f>IF(OR(G336="",H336=""),"",((H336-G336)*24))</f>
        <v/>
      </c>
    </row>
    <row r="337">
      <c r="A337" s="8" t="n"/>
      <c r="G337" s="10" t="n"/>
      <c r="H337" s="10" t="n"/>
      <c r="I337" s="9">
        <f>IF(OR(G337="",H337=""),"",((H337-G337)*24))</f>
        <v/>
      </c>
    </row>
    <row r="338">
      <c r="A338" s="8" t="n"/>
      <c r="G338" s="10" t="n"/>
      <c r="H338" s="10" t="n"/>
      <c r="I338" s="9">
        <f>IF(OR(G338="",H338=""),"",((H338-G338)*24))</f>
        <v/>
      </c>
    </row>
    <row r="339">
      <c r="A339" s="8" t="n"/>
      <c r="G339" s="10" t="n"/>
      <c r="H339" s="10" t="n"/>
      <c r="I339" s="9">
        <f>IF(OR(G339="",H339=""),"",((H339-G339)*24))</f>
        <v/>
      </c>
    </row>
    <row r="340">
      <c r="A340" s="8" t="n"/>
      <c r="G340" s="10" t="n"/>
      <c r="H340" s="10" t="n"/>
      <c r="I340" s="9">
        <f>IF(OR(G340="",H340=""),"",((H340-G340)*24))</f>
        <v/>
      </c>
    </row>
    <row r="341">
      <c r="A341" s="8" t="n"/>
      <c r="G341" s="10" t="n"/>
      <c r="H341" s="10" t="n"/>
      <c r="I341" s="9">
        <f>IF(OR(G341="",H341=""),"",((H341-G341)*24))</f>
        <v/>
      </c>
    </row>
    <row r="342">
      <c r="A342" s="8" t="n"/>
      <c r="G342" s="10" t="n"/>
      <c r="H342" s="10" t="n"/>
      <c r="I342" s="9">
        <f>IF(OR(G342="",H342=""),"",((H342-G342)*24))</f>
        <v/>
      </c>
    </row>
    <row r="343">
      <c r="A343" s="8" t="n"/>
      <c r="G343" s="10" t="n"/>
      <c r="H343" s="10" t="n"/>
      <c r="I343" s="9">
        <f>IF(OR(G343="",H343=""),"",((H343-G343)*24))</f>
        <v/>
      </c>
    </row>
    <row r="344">
      <c r="A344" s="8" t="n"/>
      <c r="G344" s="10" t="n"/>
      <c r="H344" s="10" t="n"/>
      <c r="I344" s="9">
        <f>IF(OR(G344="",H344=""),"",((H344-G344)*24))</f>
        <v/>
      </c>
    </row>
    <row r="345">
      <c r="A345" s="8" t="n"/>
      <c r="G345" s="10" t="n"/>
      <c r="H345" s="10" t="n"/>
      <c r="I345" s="9">
        <f>IF(OR(G345="",H345=""),"",((H345-G345)*24))</f>
        <v/>
      </c>
    </row>
    <row r="346">
      <c r="A346" s="8" t="n"/>
      <c r="G346" s="10" t="n"/>
      <c r="H346" s="10" t="n"/>
      <c r="I346" s="9">
        <f>IF(OR(G346="",H346=""),"",((H346-G346)*24))</f>
        <v/>
      </c>
    </row>
    <row r="347">
      <c r="A347" s="8" t="n"/>
      <c r="G347" s="10" t="n"/>
      <c r="H347" s="10" t="n"/>
      <c r="I347" s="9">
        <f>IF(OR(G347="",H347=""),"",((H347-G347)*24))</f>
        <v/>
      </c>
    </row>
    <row r="348">
      <c r="A348" s="8" t="n"/>
      <c r="G348" s="10" t="n"/>
      <c r="H348" s="10" t="n"/>
      <c r="I348" s="9">
        <f>IF(OR(G348="",H348=""),"",((H348-G348)*24))</f>
        <v/>
      </c>
    </row>
    <row r="349">
      <c r="A349" s="8" t="n"/>
      <c r="G349" s="10" t="n"/>
      <c r="H349" s="10" t="n"/>
      <c r="I349" s="9">
        <f>IF(OR(G349="",H349=""),"",((H349-G349)*24))</f>
        <v/>
      </c>
    </row>
    <row r="350">
      <c r="A350" s="8" t="n"/>
      <c r="G350" s="10" t="n"/>
      <c r="H350" s="10" t="n"/>
      <c r="I350" s="9">
        <f>IF(OR(G350="",H350=""),"",((H350-G350)*24))</f>
        <v/>
      </c>
    </row>
    <row r="351">
      <c r="A351" s="8" t="n"/>
      <c r="G351" s="10" t="n"/>
      <c r="H351" s="10" t="n"/>
      <c r="I351" s="9">
        <f>IF(OR(G351="",H351=""),"",((H351-G351)*24))</f>
        <v/>
      </c>
    </row>
    <row r="352">
      <c r="A352" s="8" t="n"/>
      <c r="G352" s="10" t="n"/>
      <c r="H352" s="10" t="n"/>
      <c r="I352" s="9">
        <f>IF(OR(G352="",H352=""),"",((H352-G352)*24))</f>
        <v/>
      </c>
    </row>
    <row r="353">
      <c r="A353" s="8" t="n"/>
      <c r="G353" s="10" t="n"/>
      <c r="H353" s="10" t="n"/>
      <c r="I353" s="9">
        <f>IF(OR(G353="",H353=""),"",((H353-G353)*24))</f>
        <v/>
      </c>
    </row>
    <row r="354">
      <c r="A354" s="8" t="n"/>
      <c r="G354" s="10" t="n"/>
      <c r="H354" s="10" t="n"/>
      <c r="I354" s="9">
        <f>IF(OR(G354="",H354=""),"",((H354-G354)*24))</f>
        <v/>
      </c>
    </row>
    <row r="355">
      <c r="A355" s="8" t="n"/>
      <c r="G355" s="10" t="n"/>
      <c r="H355" s="10" t="n"/>
      <c r="I355" s="9">
        <f>IF(OR(G355="",H355=""),"",((H355-G355)*24))</f>
        <v/>
      </c>
    </row>
    <row r="356">
      <c r="A356" s="8" t="n"/>
      <c r="G356" s="10" t="n"/>
      <c r="H356" s="10" t="n"/>
      <c r="I356" s="9">
        <f>IF(OR(G356="",H356=""),"",((H356-G356)*24))</f>
        <v/>
      </c>
    </row>
    <row r="357">
      <c r="A357" s="8" t="n"/>
      <c r="G357" s="10" t="n"/>
      <c r="H357" s="10" t="n"/>
      <c r="I357" s="9">
        <f>IF(OR(G357="",H357=""),"",((H357-G357)*24))</f>
        <v/>
      </c>
    </row>
    <row r="358">
      <c r="A358" s="8" t="n"/>
      <c r="G358" s="10" t="n"/>
      <c r="H358" s="10" t="n"/>
      <c r="I358" s="9">
        <f>IF(OR(G358="",H358=""),"",((H358-G358)*24))</f>
        <v/>
      </c>
    </row>
    <row r="359">
      <c r="A359" s="8" t="n"/>
      <c r="G359" s="10" t="n"/>
      <c r="H359" s="10" t="n"/>
      <c r="I359" s="9">
        <f>IF(OR(G359="",H359=""),"",((H359-G359)*24))</f>
        <v/>
      </c>
    </row>
    <row r="360">
      <c r="A360" s="8" t="n"/>
      <c r="G360" s="10" t="n"/>
      <c r="H360" s="10" t="n"/>
      <c r="I360" s="9">
        <f>IF(OR(G360="",H360=""),"",((H360-G360)*24))</f>
        <v/>
      </c>
    </row>
    <row r="361">
      <c r="A361" s="8" t="n"/>
      <c r="G361" s="10" t="n"/>
      <c r="H361" s="10" t="n"/>
      <c r="I361" s="9">
        <f>IF(OR(G361="",H361=""),"",((H361-G361)*24))</f>
        <v/>
      </c>
    </row>
    <row r="362">
      <c r="A362" s="8" t="n"/>
      <c r="G362" s="10" t="n"/>
      <c r="H362" s="10" t="n"/>
      <c r="I362" s="9">
        <f>IF(OR(G362="",H362=""),"",((H362-G362)*24))</f>
        <v/>
      </c>
    </row>
    <row r="363">
      <c r="A363" s="8" t="n"/>
      <c r="G363" s="10" t="n"/>
      <c r="H363" s="10" t="n"/>
      <c r="I363" s="9">
        <f>IF(OR(G363="",H363=""),"",((H363-G363)*24))</f>
        <v/>
      </c>
    </row>
    <row r="364">
      <c r="A364" s="8" t="n"/>
      <c r="G364" s="10" t="n"/>
      <c r="H364" s="10" t="n"/>
      <c r="I364" s="9">
        <f>IF(OR(G364="",H364=""),"",((H364-G364)*24))</f>
        <v/>
      </c>
    </row>
    <row r="365">
      <c r="A365" s="8" t="n"/>
      <c r="G365" s="10" t="n"/>
      <c r="H365" s="10" t="n"/>
      <c r="I365" s="9">
        <f>IF(OR(G365="",H365=""),"",((H365-G365)*24))</f>
        <v/>
      </c>
    </row>
    <row r="366">
      <c r="A366" s="8" t="n"/>
      <c r="G366" s="10" t="n"/>
      <c r="H366" s="10" t="n"/>
      <c r="I366" s="9">
        <f>IF(OR(G366="",H366=""),"",((H366-G366)*24))</f>
        <v/>
      </c>
    </row>
    <row r="367">
      <c r="A367" s="8" t="n"/>
      <c r="G367" s="10" t="n"/>
      <c r="H367" s="10" t="n"/>
      <c r="I367" s="9">
        <f>IF(OR(G367="",H367=""),"",((H367-G367)*24))</f>
        <v/>
      </c>
    </row>
    <row r="368">
      <c r="A368" s="8" t="n"/>
      <c r="G368" s="10" t="n"/>
      <c r="H368" s="10" t="n"/>
      <c r="I368" s="9">
        <f>IF(OR(G368="",H368=""),"",((H368-G368)*24))</f>
        <v/>
      </c>
    </row>
    <row r="369">
      <c r="A369" s="8" t="n"/>
      <c r="G369" s="10" t="n"/>
      <c r="H369" s="10" t="n"/>
      <c r="I369" s="9">
        <f>IF(OR(G369="",H369=""),"",((H369-G369)*24))</f>
        <v/>
      </c>
    </row>
    <row r="370">
      <c r="A370" s="8" t="n"/>
      <c r="G370" s="10" t="n"/>
      <c r="H370" s="10" t="n"/>
      <c r="I370" s="9">
        <f>IF(OR(G370="",H370=""),"",((H370-G370)*24))</f>
        <v/>
      </c>
    </row>
    <row r="371">
      <c r="A371" s="8" t="n"/>
      <c r="G371" s="10" t="n"/>
      <c r="H371" s="10" t="n"/>
      <c r="I371" s="9">
        <f>IF(OR(G371="",H371=""),"",((H371-G371)*24))</f>
        <v/>
      </c>
    </row>
    <row r="372">
      <c r="A372" s="8" t="n"/>
      <c r="G372" s="10" t="n"/>
      <c r="H372" s="10" t="n"/>
      <c r="I372" s="9">
        <f>IF(OR(G372="",H372=""),"",((H372-G372)*24))</f>
        <v/>
      </c>
    </row>
    <row r="373">
      <c r="A373" s="8" t="n"/>
      <c r="G373" s="10" t="n"/>
      <c r="H373" s="10" t="n"/>
      <c r="I373" s="9">
        <f>IF(OR(G373="",H373=""),"",((H373-G373)*24))</f>
        <v/>
      </c>
    </row>
    <row r="374">
      <c r="A374" s="8" t="n"/>
      <c r="G374" s="10" t="n"/>
      <c r="H374" s="10" t="n"/>
      <c r="I374" s="9">
        <f>IF(OR(G374="",H374=""),"",((H374-G374)*24))</f>
        <v/>
      </c>
    </row>
    <row r="375">
      <c r="A375" s="8" t="n"/>
      <c r="G375" s="10" t="n"/>
      <c r="H375" s="10" t="n"/>
      <c r="I375" s="9">
        <f>IF(OR(G375="",H375=""),"",((H375-G375)*24))</f>
        <v/>
      </c>
    </row>
    <row r="376">
      <c r="A376" s="8" t="n"/>
      <c r="G376" s="10" t="n"/>
      <c r="H376" s="10" t="n"/>
      <c r="I376" s="9">
        <f>IF(OR(G376="",H376=""),"",((H376-G376)*24))</f>
        <v/>
      </c>
    </row>
    <row r="377">
      <c r="A377" s="8" t="n"/>
      <c r="G377" s="10" t="n"/>
      <c r="H377" s="10" t="n"/>
      <c r="I377" s="9">
        <f>IF(OR(G377="",H377=""),"",((H377-G377)*24))</f>
        <v/>
      </c>
    </row>
    <row r="378">
      <c r="A378" s="8" t="n"/>
      <c r="G378" s="10" t="n"/>
      <c r="H378" s="10" t="n"/>
      <c r="I378" s="9">
        <f>IF(OR(G378="",H378=""),"",((H378-G378)*24))</f>
        <v/>
      </c>
    </row>
    <row r="379">
      <c r="A379" s="8" t="n"/>
      <c r="G379" s="10" t="n"/>
      <c r="H379" s="10" t="n"/>
      <c r="I379" s="9">
        <f>IF(OR(G379="",H379=""),"",((H379-G379)*24))</f>
        <v/>
      </c>
    </row>
    <row r="380">
      <c r="A380" s="8" t="n"/>
      <c r="G380" s="10" t="n"/>
      <c r="H380" s="10" t="n"/>
      <c r="I380" s="9">
        <f>IF(OR(G380="",H380=""),"",((H380-G380)*24))</f>
        <v/>
      </c>
    </row>
    <row r="381">
      <c r="A381" s="8" t="n"/>
      <c r="G381" s="10" t="n"/>
      <c r="H381" s="10" t="n"/>
      <c r="I381" s="9">
        <f>IF(OR(G381="",H381=""),"",((H381-G381)*24))</f>
        <v/>
      </c>
    </row>
    <row r="382">
      <c r="A382" s="8" t="n"/>
      <c r="G382" s="10" t="n"/>
      <c r="H382" s="10" t="n"/>
      <c r="I382" s="9">
        <f>IF(OR(G382="",H382=""),"",((H382-G382)*24))</f>
        <v/>
      </c>
    </row>
    <row r="383">
      <c r="A383" s="8" t="n"/>
      <c r="G383" s="10" t="n"/>
      <c r="H383" s="10" t="n"/>
      <c r="I383" s="9">
        <f>IF(OR(G383="",H383=""),"",((H383-G383)*24))</f>
        <v/>
      </c>
    </row>
    <row r="384">
      <c r="A384" s="8" t="n"/>
      <c r="G384" s="10" t="n"/>
      <c r="H384" s="10" t="n"/>
      <c r="I384" s="9">
        <f>IF(OR(G384="",H384=""),"",((H384-G384)*24))</f>
        <v/>
      </c>
    </row>
    <row r="385">
      <c r="A385" s="8" t="n"/>
      <c r="G385" s="10" t="n"/>
      <c r="H385" s="10" t="n"/>
      <c r="I385" s="9">
        <f>IF(OR(G385="",H385=""),"",((H385-G385)*24))</f>
        <v/>
      </c>
    </row>
    <row r="386">
      <c r="A386" s="8" t="n"/>
      <c r="G386" s="10" t="n"/>
      <c r="H386" s="10" t="n"/>
      <c r="I386" s="9">
        <f>IF(OR(G386="",H386=""),"",((H386-G386)*24))</f>
        <v/>
      </c>
    </row>
    <row r="387">
      <c r="A387" s="8" t="n"/>
      <c r="G387" s="10" t="n"/>
      <c r="H387" s="10" t="n"/>
      <c r="I387" s="9">
        <f>IF(OR(G387="",H387=""),"",((H387-G387)*24))</f>
        <v/>
      </c>
    </row>
    <row r="388">
      <c r="A388" s="8" t="n"/>
      <c r="G388" s="10" t="n"/>
      <c r="H388" s="10" t="n"/>
      <c r="I388" s="9">
        <f>IF(OR(G388="",H388=""),"",((H388-G388)*24))</f>
        <v/>
      </c>
    </row>
    <row r="389">
      <c r="A389" s="8" t="n"/>
      <c r="G389" s="10" t="n"/>
      <c r="H389" s="10" t="n"/>
      <c r="I389" s="9">
        <f>IF(OR(G389="",H389=""),"",((H389-G389)*24))</f>
        <v/>
      </c>
    </row>
    <row r="390">
      <c r="A390" s="8" t="n"/>
      <c r="G390" s="10" t="n"/>
      <c r="H390" s="10" t="n"/>
      <c r="I390" s="9">
        <f>IF(OR(G390="",H390=""),"",((H390-G390)*24))</f>
        <v/>
      </c>
    </row>
    <row r="391">
      <c r="A391" s="8" t="n"/>
      <c r="G391" s="10" t="n"/>
      <c r="H391" s="10" t="n"/>
      <c r="I391" s="9">
        <f>IF(OR(G391="",H391=""),"",((H391-G391)*24))</f>
        <v/>
      </c>
    </row>
    <row r="392">
      <c r="A392" s="8" t="n"/>
      <c r="G392" s="10" t="n"/>
      <c r="H392" s="10" t="n"/>
      <c r="I392" s="9">
        <f>IF(OR(G392="",H392=""),"",((H392-G392)*24))</f>
        <v/>
      </c>
    </row>
    <row r="393">
      <c r="A393" s="8" t="n"/>
      <c r="G393" s="10" t="n"/>
      <c r="H393" s="10" t="n"/>
      <c r="I393" s="9">
        <f>IF(OR(G393="",H393=""),"",((H393-G393)*24))</f>
        <v/>
      </c>
    </row>
    <row r="394">
      <c r="A394" s="8" t="n"/>
      <c r="G394" s="10" t="n"/>
      <c r="H394" s="10" t="n"/>
      <c r="I394" s="9">
        <f>IF(OR(G394="",H394=""),"",((H394-G394)*24))</f>
        <v/>
      </c>
    </row>
    <row r="395">
      <c r="A395" s="8" t="n"/>
      <c r="G395" s="10" t="n"/>
      <c r="H395" s="10" t="n"/>
      <c r="I395" s="9">
        <f>IF(OR(G395="",H395=""),"",((H395-G395)*24))</f>
        <v/>
      </c>
    </row>
    <row r="396">
      <c r="A396" s="8" t="n"/>
      <c r="G396" s="10" t="n"/>
      <c r="H396" s="10" t="n"/>
      <c r="I396" s="9">
        <f>IF(OR(G396="",H396=""),"",((H396-G396)*24))</f>
        <v/>
      </c>
    </row>
    <row r="397">
      <c r="A397" s="8" t="n"/>
      <c r="G397" s="10" t="n"/>
      <c r="H397" s="10" t="n"/>
      <c r="I397" s="9">
        <f>IF(OR(G397="",H397=""),"",((H397-G397)*24))</f>
        <v/>
      </c>
    </row>
    <row r="398">
      <c r="A398" s="8" t="n"/>
      <c r="G398" s="10" t="n"/>
      <c r="H398" s="10" t="n"/>
      <c r="I398" s="9">
        <f>IF(OR(G398="",H398=""),"",((H398-G398)*24))</f>
        <v/>
      </c>
    </row>
    <row r="399">
      <c r="A399" s="8" t="n"/>
      <c r="G399" s="10" t="n"/>
      <c r="H399" s="10" t="n"/>
      <c r="I399" s="9">
        <f>IF(OR(G399="",H399=""),"",((H399-G399)*24))</f>
        <v/>
      </c>
    </row>
    <row r="400">
      <c r="A400" s="8" t="n"/>
      <c r="G400" s="10" t="n"/>
      <c r="H400" s="10" t="n"/>
      <c r="I400" s="9">
        <f>IF(OR(G400="",H400=""),"",((H400-G400)*24))</f>
        <v/>
      </c>
    </row>
    <row r="401">
      <c r="A401" s="8" t="n"/>
      <c r="G401" s="10" t="n"/>
      <c r="H401" s="10" t="n"/>
      <c r="I401" s="9">
        <f>IF(OR(G401="",H401=""),"",((H401-G401)*24))</f>
        <v/>
      </c>
    </row>
    <row r="402">
      <c r="A402" s="8" t="n"/>
      <c r="G402" s="10" t="n"/>
      <c r="H402" s="10" t="n"/>
      <c r="I402" s="9">
        <f>IF(OR(G402="",H402=""),"",((H402-G402)*24))</f>
        <v/>
      </c>
    </row>
    <row r="403">
      <c r="A403" s="8" t="n"/>
      <c r="G403" s="10" t="n"/>
      <c r="H403" s="10" t="n"/>
      <c r="I403" s="9">
        <f>IF(OR(G403="",H403=""),"",((H403-G403)*24))</f>
        <v/>
      </c>
    </row>
    <row r="404">
      <c r="A404" s="8" t="n"/>
      <c r="G404" s="10" t="n"/>
      <c r="H404" s="10" t="n"/>
      <c r="I404" s="9">
        <f>IF(OR(G404="",H404=""),"",((H404-G404)*24))</f>
        <v/>
      </c>
    </row>
    <row r="405">
      <c r="A405" s="8" t="n"/>
      <c r="G405" s="10" t="n"/>
      <c r="H405" s="10" t="n"/>
      <c r="I405" s="9">
        <f>IF(OR(G405="",H405=""),"",((H405-G405)*24))</f>
        <v/>
      </c>
    </row>
    <row r="406">
      <c r="A406" s="8" t="n"/>
      <c r="G406" s="10" t="n"/>
      <c r="H406" s="10" t="n"/>
      <c r="I406" s="9">
        <f>IF(OR(G406="",H406=""),"",((H406-G406)*24))</f>
        <v/>
      </c>
    </row>
    <row r="407">
      <c r="A407" s="8" t="n"/>
      <c r="G407" s="10" t="n"/>
      <c r="H407" s="10" t="n"/>
      <c r="I407" s="9">
        <f>IF(OR(G407="",H407=""),"",((H407-G407)*24))</f>
        <v/>
      </c>
    </row>
    <row r="408">
      <c r="A408" s="8" t="n"/>
      <c r="G408" s="10" t="n"/>
      <c r="H408" s="10" t="n"/>
      <c r="I408" s="9">
        <f>IF(OR(G408="",H408=""),"",((H408-G408)*24))</f>
        <v/>
      </c>
    </row>
    <row r="409">
      <c r="A409" s="8" t="n"/>
      <c r="G409" s="10" t="n"/>
      <c r="H409" s="10" t="n"/>
      <c r="I409" s="9">
        <f>IF(OR(G409="",H409=""),"",((H409-G409)*24))</f>
        <v/>
      </c>
    </row>
    <row r="410">
      <c r="A410" s="8" t="n"/>
      <c r="G410" s="10" t="n"/>
      <c r="H410" s="10" t="n"/>
      <c r="I410" s="9">
        <f>IF(OR(G410="",H410=""),"",((H410-G410)*24))</f>
        <v/>
      </c>
    </row>
    <row r="411">
      <c r="A411" s="8" t="n"/>
      <c r="G411" s="10" t="n"/>
      <c r="H411" s="10" t="n"/>
      <c r="I411" s="9">
        <f>IF(OR(G411="",H411=""),"",((H411-G411)*24))</f>
        <v/>
      </c>
    </row>
    <row r="412">
      <c r="A412" s="8" t="n"/>
      <c r="G412" s="10" t="n"/>
      <c r="H412" s="10" t="n"/>
      <c r="I412" s="9">
        <f>IF(OR(G412="",H412=""),"",((H412-G412)*24))</f>
        <v/>
      </c>
    </row>
    <row r="413">
      <c r="A413" s="8" t="n"/>
      <c r="G413" s="10" t="n"/>
      <c r="H413" s="10" t="n"/>
      <c r="I413" s="9">
        <f>IF(OR(G413="",H413=""),"",((H413-G413)*24))</f>
        <v/>
      </c>
    </row>
    <row r="414">
      <c r="A414" s="8" t="n"/>
      <c r="G414" s="10" t="n"/>
      <c r="H414" s="10" t="n"/>
      <c r="I414" s="9">
        <f>IF(OR(G414="",H414=""),"",((H414-G414)*24))</f>
        <v/>
      </c>
    </row>
    <row r="415">
      <c r="A415" s="8" t="n"/>
      <c r="G415" s="10" t="n"/>
      <c r="H415" s="10" t="n"/>
      <c r="I415" s="9">
        <f>IF(OR(G415="",H415=""),"",((H415-G415)*24))</f>
        <v/>
      </c>
    </row>
    <row r="416">
      <c r="A416" s="8" t="n"/>
      <c r="G416" s="10" t="n"/>
      <c r="H416" s="10" t="n"/>
      <c r="I416" s="9">
        <f>IF(OR(G416="",H416=""),"",((H416-G416)*24))</f>
        <v/>
      </c>
    </row>
    <row r="417">
      <c r="A417" s="8" t="n"/>
      <c r="G417" s="10" t="n"/>
      <c r="H417" s="10" t="n"/>
      <c r="I417" s="9">
        <f>IF(OR(G417="",H417=""),"",((H417-G417)*24))</f>
        <v/>
      </c>
    </row>
    <row r="418">
      <c r="A418" s="8" t="n"/>
      <c r="G418" s="10" t="n"/>
      <c r="H418" s="10" t="n"/>
      <c r="I418" s="9">
        <f>IF(OR(G418="",H418=""),"",((H418-G418)*24))</f>
        <v/>
      </c>
    </row>
    <row r="419">
      <c r="A419" s="8" t="n"/>
      <c r="G419" s="10" t="n"/>
      <c r="H419" s="10" t="n"/>
      <c r="I419" s="9">
        <f>IF(OR(G419="",H419=""),"",((H419-G419)*24))</f>
        <v/>
      </c>
    </row>
    <row r="420">
      <c r="A420" s="8" t="n"/>
      <c r="G420" s="10" t="n"/>
      <c r="H420" s="10" t="n"/>
      <c r="I420" s="9">
        <f>IF(OR(G420="",H420=""),"",((H420-G420)*24))</f>
        <v/>
      </c>
    </row>
    <row r="421">
      <c r="A421" s="8" t="n"/>
      <c r="G421" s="10" t="n"/>
      <c r="H421" s="10" t="n"/>
      <c r="I421" s="9">
        <f>IF(OR(G421="",H421=""),"",((H421-G421)*24))</f>
        <v/>
      </c>
    </row>
    <row r="422">
      <c r="A422" s="8" t="n"/>
      <c r="G422" s="10" t="n"/>
      <c r="H422" s="10" t="n"/>
      <c r="I422" s="9">
        <f>IF(OR(G422="",H422=""),"",((H422-G422)*24))</f>
        <v/>
      </c>
    </row>
    <row r="423">
      <c r="A423" s="8" t="n"/>
      <c r="G423" s="10" t="n"/>
      <c r="H423" s="10" t="n"/>
      <c r="I423" s="9">
        <f>IF(OR(G423="",H423=""),"",((H423-G423)*24))</f>
        <v/>
      </c>
    </row>
    <row r="424">
      <c r="A424" s="8" t="n"/>
      <c r="G424" s="10" t="n"/>
      <c r="H424" s="10" t="n"/>
      <c r="I424" s="9">
        <f>IF(OR(G424="",H424=""),"",((H424-G424)*24))</f>
        <v/>
      </c>
    </row>
    <row r="425">
      <c r="A425" s="8" t="n"/>
      <c r="G425" s="10" t="n"/>
      <c r="H425" s="10" t="n"/>
      <c r="I425" s="9">
        <f>IF(OR(G425="",H425=""),"",((H425-G425)*24))</f>
        <v/>
      </c>
    </row>
    <row r="426">
      <c r="A426" s="8" t="n"/>
      <c r="G426" s="10" t="n"/>
      <c r="H426" s="10" t="n"/>
      <c r="I426" s="9">
        <f>IF(OR(G426="",H426=""),"",((H426-G426)*24))</f>
        <v/>
      </c>
    </row>
    <row r="427">
      <c r="A427" s="8" t="n"/>
      <c r="G427" s="10" t="n"/>
      <c r="H427" s="10" t="n"/>
      <c r="I427" s="9">
        <f>IF(OR(G427="",H427=""),"",((H427-G427)*24))</f>
        <v/>
      </c>
    </row>
    <row r="428">
      <c r="A428" s="8" t="n"/>
      <c r="G428" s="10" t="n"/>
      <c r="H428" s="10" t="n"/>
      <c r="I428" s="9">
        <f>IF(OR(G428="",H428=""),"",((H428-G428)*24))</f>
        <v/>
      </c>
    </row>
    <row r="429">
      <c r="A429" s="8" t="n"/>
      <c r="G429" s="10" t="n"/>
      <c r="H429" s="10" t="n"/>
      <c r="I429" s="9">
        <f>IF(OR(G429="",H429=""),"",((H429-G429)*24))</f>
        <v/>
      </c>
    </row>
    <row r="430">
      <c r="A430" s="8" t="n"/>
      <c r="G430" s="10" t="n"/>
      <c r="H430" s="10" t="n"/>
      <c r="I430" s="9">
        <f>IF(OR(G430="",H430=""),"",((H430-G430)*24))</f>
        <v/>
      </c>
    </row>
    <row r="431">
      <c r="A431" s="8" t="n"/>
      <c r="G431" s="10" t="n"/>
      <c r="H431" s="10" t="n"/>
      <c r="I431" s="9">
        <f>IF(OR(G431="",H431=""),"",((H431-G431)*24))</f>
        <v/>
      </c>
    </row>
    <row r="432">
      <c r="A432" s="8" t="n"/>
      <c r="G432" s="10" t="n"/>
      <c r="H432" s="10" t="n"/>
      <c r="I432" s="9">
        <f>IF(OR(G432="",H432=""),"",((H432-G432)*24))</f>
        <v/>
      </c>
    </row>
    <row r="433">
      <c r="A433" s="8" t="n"/>
      <c r="G433" s="10" t="n"/>
      <c r="H433" s="10" t="n"/>
      <c r="I433" s="9">
        <f>IF(OR(G433="",H433=""),"",((H433-G433)*24))</f>
        <v/>
      </c>
    </row>
    <row r="434">
      <c r="A434" s="8" t="n"/>
      <c r="G434" s="10" t="n"/>
      <c r="H434" s="10" t="n"/>
      <c r="I434" s="9">
        <f>IF(OR(G434="",H434=""),"",((H434-G434)*24))</f>
        <v/>
      </c>
    </row>
    <row r="435">
      <c r="A435" s="8" t="n"/>
      <c r="G435" s="10" t="n"/>
      <c r="H435" s="10" t="n"/>
      <c r="I435" s="9">
        <f>IF(OR(G435="",H435=""),"",((H435-G435)*24))</f>
        <v/>
      </c>
    </row>
    <row r="436">
      <c r="A436" s="8" t="n"/>
      <c r="G436" s="10" t="n"/>
      <c r="H436" s="10" t="n"/>
      <c r="I436" s="9">
        <f>IF(OR(G436="",H436=""),"",((H436-G436)*24))</f>
        <v/>
      </c>
    </row>
    <row r="437">
      <c r="A437" s="8" t="n"/>
      <c r="G437" s="10" t="n"/>
      <c r="H437" s="10" t="n"/>
      <c r="I437" s="9">
        <f>IF(OR(G437="",H437=""),"",((H437-G437)*24))</f>
        <v/>
      </c>
    </row>
    <row r="438">
      <c r="A438" s="8" t="n"/>
      <c r="G438" s="10" t="n"/>
      <c r="H438" s="10" t="n"/>
      <c r="I438" s="9">
        <f>IF(OR(G438="",H438=""),"",((H438-G438)*24))</f>
        <v/>
      </c>
    </row>
    <row r="439">
      <c r="A439" s="8" t="n"/>
      <c r="G439" s="10" t="n"/>
      <c r="H439" s="10" t="n"/>
      <c r="I439" s="9">
        <f>IF(OR(G439="",H439=""),"",((H439-G439)*24))</f>
        <v/>
      </c>
    </row>
    <row r="440">
      <c r="A440" s="8" t="n"/>
      <c r="G440" s="10" t="n"/>
      <c r="H440" s="10" t="n"/>
      <c r="I440" s="9">
        <f>IF(OR(G440="",H440=""),"",((H440-G440)*24))</f>
        <v/>
      </c>
    </row>
    <row r="441">
      <c r="A441" s="8" t="n"/>
      <c r="G441" s="10" t="n"/>
      <c r="H441" s="10" t="n"/>
      <c r="I441" s="9">
        <f>IF(OR(G441="",H441=""),"",((H441-G441)*24))</f>
        <v/>
      </c>
    </row>
    <row r="442">
      <c r="A442" s="8" t="n"/>
      <c r="G442" s="10" t="n"/>
      <c r="H442" s="10" t="n"/>
      <c r="I442" s="9">
        <f>IF(OR(G442="",H442=""),"",((H442-G442)*24))</f>
        <v/>
      </c>
    </row>
    <row r="443">
      <c r="A443" s="8" t="n"/>
      <c r="G443" s="10" t="n"/>
      <c r="H443" s="10" t="n"/>
      <c r="I443" s="9">
        <f>IF(OR(G443="",H443=""),"",((H443-G443)*24))</f>
        <v/>
      </c>
    </row>
    <row r="444">
      <c r="A444" s="8" t="n"/>
      <c r="G444" s="10" t="n"/>
      <c r="H444" s="10" t="n"/>
      <c r="I444" s="9">
        <f>IF(OR(G444="",H444=""),"",((H444-G444)*24))</f>
        <v/>
      </c>
    </row>
    <row r="445">
      <c r="A445" s="8" t="n"/>
      <c r="G445" s="10" t="n"/>
      <c r="H445" s="10" t="n"/>
      <c r="I445" s="9">
        <f>IF(OR(G445="",H445=""),"",((H445-G445)*24))</f>
        <v/>
      </c>
    </row>
    <row r="446">
      <c r="A446" s="8" t="n"/>
      <c r="G446" s="10" t="n"/>
      <c r="H446" s="10" t="n"/>
      <c r="I446" s="9">
        <f>IF(OR(G446="",H446=""),"",((H446-G446)*24))</f>
        <v/>
      </c>
    </row>
    <row r="447">
      <c r="A447" s="8" t="n"/>
      <c r="G447" s="10" t="n"/>
      <c r="H447" s="10" t="n"/>
      <c r="I447" s="9">
        <f>IF(OR(G447="",H447=""),"",((H447-G447)*24))</f>
        <v/>
      </c>
    </row>
    <row r="448">
      <c r="A448" s="8" t="n"/>
      <c r="G448" s="10" t="n"/>
      <c r="H448" s="10" t="n"/>
      <c r="I448" s="9">
        <f>IF(OR(G448="",H448=""),"",((H448-G448)*24))</f>
        <v/>
      </c>
    </row>
    <row r="449">
      <c r="A449" s="8" t="n"/>
      <c r="G449" s="10" t="n"/>
      <c r="H449" s="10" t="n"/>
      <c r="I449" s="9">
        <f>IF(OR(G449="",H449=""),"",((H449-G449)*24))</f>
        <v/>
      </c>
    </row>
    <row r="450">
      <c r="A450" s="8" t="n"/>
      <c r="G450" s="10" t="n"/>
      <c r="H450" s="10" t="n"/>
      <c r="I450" s="9">
        <f>IF(OR(G450="",H450=""),"",((H450-G450)*24))</f>
        <v/>
      </c>
    </row>
    <row r="451">
      <c r="A451" s="8" t="n"/>
      <c r="G451" s="10" t="n"/>
      <c r="H451" s="10" t="n"/>
      <c r="I451" s="9">
        <f>IF(OR(G451="",H451=""),"",((H451-G451)*24))</f>
        <v/>
      </c>
    </row>
    <row r="452">
      <c r="A452" s="8" t="n"/>
      <c r="G452" s="10" t="n"/>
      <c r="H452" s="10" t="n"/>
      <c r="I452" s="9">
        <f>IF(OR(G452="",H452=""),"",((H452-G452)*24))</f>
        <v/>
      </c>
    </row>
    <row r="453">
      <c r="A453" s="8" t="n"/>
      <c r="G453" s="10" t="n"/>
      <c r="H453" s="10" t="n"/>
      <c r="I453" s="9">
        <f>IF(OR(G453="",H453=""),"",((H453-G453)*24))</f>
        <v/>
      </c>
    </row>
    <row r="454">
      <c r="A454" s="8" t="n"/>
      <c r="G454" s="10" t="n"/>
      <c r="H454" s="10" t="n"/>
      <c r="I454" s="9">
        <f>IF(OR(G454="",H454=""),"",((H454-G454)*24))</f>
        <v/>
      </c>
    </row>
    <row r="455">
      <c r="A455" s="8" t="n"/>
      <c r="G455" s="10" t="n"/>
      <c r="H455" s="10" t="n"/>
      <c r="I455" s="9">
        <f>IF(OR(G455="",H455=""),"",((H455-G455)*24))</f>
        <v/>
      </c>
    </row>
    <row r="456">
      <c r="A456" s="8" t="n"/>
      <c r="G456" s="10" t="n"/>
      <c r="H456" s="10" t="n"/>
      <c r="I456" s="9">
        <f>IF(OR(G456="",H456=""),"",((H456-G456)*24))</f>
        <v/>
      </c>
    </row>
    <row r="457">
      <c r="A457" s="8" t="n"/>
      <c r="G457" s="10" t="n"/>
      <c r="H457" s="10" t="n"/>
      <c r="I457" s="9">
        <f>IF(OR(G457="",H457=""),"",((H457-G457)*24))</f>
        <v/>
      </c>
    </row>
    <row r="458">
      <c r="A458" s="8" t="n"/>
      <c r="G458" s="10" t="n"/>
      <c r="H458" s="10" t="n"/>
      <c r="I458" s="9">
        <f>IF(OR(G458="",H458=""),"",((H458-G458)*24))</f>
        <v/>
      </c>
    </row>
    <row r="459">
      <c r="A459" s="8" t="n"/>
      <c r="G459" s="10" t="n"/>
      <c r="H459" s="10" t="n"/>
      <c r="I459" s="9">
        <f>IF(OR(G459="",H459=""),"",((H459-G459)*24))</f>
        <v/>
      </c>
    </row>
    <row r="460">
      <c r="A460" s="8" t="n"/>
      <c r="G460" s="10" t="n"/>
      <c r="H460" s="10" t="n"/>
      <c r="I460" s="9">
        <f>IF(OR(G460="",H460=""),"",((H460-G460)*24))</f>
        <v/>
      </c>
    </row>
    <row r="461">
      <c r="A461" s="8" t="n"/>
      <c r="G461" s="10" t="n"/>
      <c r="H461" s="10" t="n"/>
      <c r="I461" s="9">
        <f>IF(OR(G461="",H461=""),"",((H461-G461)*24))</f>
        <v/>
      </c>
    </row>
    <row r="462">
      <c r="A462" s="8" t="n"/>
      <c r="G462" s="10" t="n"/>
      <c r="H462" s="10" t="n"/>
      <c r="I462" s="9">
        <f>IF(OR(G462="",H462=""),"",((H462-G462)*24))</f>
        <v/>
      </c>
    </row>
    <row r="463">
      <c r="A463" s="8" t="n"/>
      <c r="G463" s="10" t="n"/>
      <c r="H463" s="10" t="n"/>
      <c r="I463" s="9">
        <f>IF(OR(G463="",H463=""),"",((H463-G463)*24))</f>
        <v/>
      </c>
    </row>
    <row r="464">
      <c r="A464" s="8" t="n"/>
      <c r="G464" s="10" t="n"/>
      <c r="H464" s="10" t="n"/>
      <c r="I464" s="9">
        <f>IF(OR(G464="",H464=""),"",((H464-G464)*24))</f>
        <v/>
      </c>
    </row>
    <row r="465">
      <c r="A465" s="8" t="n"/>
      <c r="G465" s="10" t="n"/>
      <c r="H465" s="10" t="n"/>
      <c r="I465" s="9">
        <f>IF(OR(G465="",H465=""),"",((H465-G465)*24))</f>
        <v/>
      </c>
    </row>
    <row r="466">
      <c r="A466" s="8" t="n"/>
      <c r="G466" s="10" t="n"/>
      <c r="H466" s="10" t="n"/>
      <c r="I466" s="9">
        <f>IF(OR(G466="",H466=""),"",((H466-G466)*24))</f>
        <v/>
      </c>
    </row>
    <row r="467">
      <c r="A467" s="8" t="n"/>
      <c r="G467" s="10" t="n"/>
      <c r="H467" s="10" t="n"/>
      <c r="I467" s="9">
        <f>IF(OR(G467="",H467=""),"",((H467-G467)*24))</f>
        <v/>
      </c>
    </row>
    <row r="468">
      <c r="A468" s="8" t="n"/>
      <c r="G468" s="10" t="n"/>
      <c r="H468" s="10" t="n"/>
      <c r="I468" s="9">
        <f>IF(OR(G468="",H468=""),"",((H468-G468)*24))</f>
        <v/>
      </c>
    </row>
    <row r="469">
      <c r="A469" s="8" t="n"/>
      <c r="G469" s="10" t="n"/>
      <c r="H469" s="10" t="n"/>
      <c r="I469" s="9">
        <f>IF(OR(G469="",H469=""),"",((H469-G469)*24))</f>
        <v/>
      </c>
    </row>
    <row r="470">
      <c r="A470" s="8" t="n"/>
      <c r="G470" s="10" t="n"/>
      <c r="H470" s="10" t="n"/>
      <c r="I470" s="9">
        <f>IF(OR(G470="",H470=""),"",((H470-G470)*24))</f>
        <v/>
      </c>
    </row>
    <row r="471">
      <c r="A471" s="8" t="n"/>
      <c r="G471" s="10" t="n"/>
      <c r="H471" s="10" t="n"/>
      <c r="I471" s="9">
        <f>IF(OR(G471="",H471=""),"",((H471-G471)*24))</f>
        <v/>
      </c>
    </row>
    <row r="472">
      <c r="A472" s="8" t="n"/>
      <c r="G472" s="10" t="n"/>
      <c r="H472" s="10" t="n"/>
      <c r="I472" s="9">
        <f>IF(OR(G472="",H472=""),"",((H472-G472)*24))</f>
        <v/>
      </c>
    </row>
    <row r="473">
      <c r="A473" s="8" t="n"/>
      <c r="G473" s="10" t="n"/>
      <c r="H473" s="10" t="n"/>
      <c r="I473" s="9">
        <f>IF(OR(G473="",H473=""),"",((H473-G473)*24))</f>
        <v/>
      </c>
    </row>
    <row r="474">
      <c r="A474" s="8" t="n"/>
      <c r="G474" s="10" t="n"/>
      <c r="H474" s="10" t="n"/>
      <c r="I474" s="9">
        <f>IF(OR(G474="",H474=""),"",((H474-G474)*24))</f>
        <v/>
      </c>
    </row>
    <row r="475">
      <c r="A475" s="8" t="n"/>
      <c r="G475" s="10" t="n"/>
      <c r="H475" s="10" t="n"/>
      <c r="I475" s="9">
        <f>IF(OR(G475="",H475=""),"",((H475-G475)*24))</f>
        <v/>
      </c>
    </row>
    <row r="476">
      <c r="A476" s="8" t="n"/>
      <c r="G476" s="10" t="n"/>
      <c r="H476" s="10" t="n"/>
      <c r="I476" s="9">
        <f>IF(OR(G476="",H476=""),"",((H476-G476)*24))</f>
        <v/>
      </c>
    </row>
    <row r="477">
      <c r="A477" s="8" t="n"/>
      <c r="G477" s="10" t="n"/>
      <c r="H477" s="10" t="n"/>
      <c r="I477" s="9">
        <f>IF(OR(G477="",H477=""),"",((H477-G477)*24))</f>
        <v/>
      </c>
    </row>
    <row r="478">
      <c r="A478" s="8" t="n"/>
      <c r="G478" s="10" t="n"/>
      <c r="H478" s="10" t="n"/>
      <c r="I478" s="9">
        <f>IF(OR(G478="",H478=""),"",((H478-G478)*24))</f>
        <v/>
      </c>
    </row>
    <row r="479">
      <c r="A479" s="8" t="n"/>
      <c r="G479" s="10" t="n"/>
      <c r="H479" s="10" t="n"/>
      <c r="I479" s="9">
        <f>IF(OR(G479="",H479=""),"",((H479-G479)*24))</f>
        <v/>
      </c>
    </row>
    <row r="480">
      <c r="A480" s="8" t="n"/>
      <c r="G480" s="10" t="n"/>
      <c r="H480" s="10" t="n"/>
      <c r="I480" s="9">
        <f>IF(OR(G480="",H480=""),"",((H480-G480)*24))</f>
        <v/>
      </c>
    </row>
    <row r="481">
      <c r="A481" s="8" t="n"/>
      <c r="G481" s="10" t="n"/>
      <c r="H481" s="10" t="n"/>
      <c r="I481" s="9">
        <f>IF(OR(G481="",H481=""),"",((H481-G481)*24))</f>
        <v/>
      </c>
    </row>
    <row r="482">
      <c r="A482" s="8" t="n"/>
      <c r="G482" s="10" t="n"/>
      <c r="H482" s="10" t="n"/>
      <c r="I482" s="9">
        <f>IF(OR(G482="",H482=""),"",((H482-G482)*24))</f>
        <v/>
      </c>
    </row>
    <row r="483">
      <c r="A483" s="8" t="n"/>
      <c r="G483" s="10" t="n"/>
      <c r="H483" s="10" t="n"/>
      <c r="I483" s="9">
        <f>IF(OR(G483="",H483=""),"",((H483-G483)*24))</f>
        <v/>
      </c>
    </row>
    <row r="484">
      <c r="A484" s="8" t="n"/>
      <c r="G484" s="10" t="n"/>
      <c r="H484" s="10" t="n"/>
      <c r="I484" s="9">
        <f>IF(OR(G484="",H484=""),"",((H484-G484)*24))</f>
        <v/>
      </c>
    </row>
    <row r="485">
      <c r="A485" s="8" t="n"/>
      <c r="G485" s="10" t="n"/>
      <c r="H485" s="10" t="n"/>
      <c r="I485" s="9">
        <f>IF(OR(G485="",H485=""),"",((H485-G485)*24))</f>
        <v/>
      </c>
    </row>
    <row r="486">
      <c r="A486" s="8" t="n"/>
      <c r="G486" s="10" t="n"/>
      <c r="H486" s="10" t="n"/>
      <c r="I486" s="9">
        <f>IF(OR(G486="",H486=""),"",((H486-G486)*24))</f>
        <v/>
      </c>
    </row>
    <row r="487">
      <c r="A487" s="8" t="n"/>
      <c r="G487" s="10" t="n"/>
      <c r="H487" s="10" t="n"/>
      <c r="I487" s="9">
        <f>IF(OR(G487="",H487=""),"",((H487-G487)*24))</f>
        <v/>
      </c>
    </row>
    <row r="488">
      <c r="A488" s="8" t="n"/>
      <c r="G488" s="10" t="n"/>
      <c r="H488" s="10" t="n"/>
      <c r="I488" s="9">
        <f>IF(OR(G488="",H488=""),"",((H488-G488)*24))</f>
        <v/>
      </c>
    </row>
    <row r="489">
      <c r="A489" s="8" t="n"/>
      <c r="G489" s="10" t="n"/>
      <c r="H489" s="10" t="n"/>
      <c r="I489" s="9">
        <f>IF(OR(G489="",H489=""),"",((H489-G489)*24))</f>
        <v/>
      </c>
    </row>
    <row r="490">
      <c r="A490" s="8" t="n"/>
      <c r="G490" s="10" t="n"/>
      <c r="H490" s="10" t="n"/>
      <c r="I490" s="9">
        <f>IF(OR(G490="",H490=""),"",((H490-G490)*24))</f>
        <v/>
      </c>
    </row>
    <row r="491">
      <c r="A491" s="8" t="n"/>
      <c r="G491" s="10" t="n"/>
      <c r="H491" s="10" t="n"/>
      <c r="I491" s="9">
        <f>IF(OR(G491="",H491=""),"",((H491-G491)*24))</f>
        <v/>
      </c>
    </row>
    <row r="492">
      <c r="A492" s="8" t="n"/>
      <c r="G492" s="10" t="n"/>
      <c r="H492" s="10" t="n"/>
      <c r="I492" s="9">
        <f>IF(OR(G492="",H492=""),"",((H492-G492)*24))</f>
        <v/>
      </c>
    </row>
    <row r="493">
      <c r="A493" s="8" t="n"/>
      <c r="G493" s="10" t="n"/>
      <c r="H493" s="10" t="n"/>
      <c r="I493" s="9">
        <f>IF(OR(G493="",H493=""),"",((H493-G493)*24))</f>
        <v/>
      </c>
    </row>
    <row r="494">
      <c r="A494" s="8" t="n"/>
      <c r="G494" s="10" t="n"/>
      <c r="H494" s="10" t="n"/>
      <c r="I494" s="9">
        <f>IF(OR(G494="",H494=""),"",((H494-G494)*24))</f>
        <v/>
      </c>
    </row>
    <row r="495">
      <c r="A495" s="8" t="n"/>
      <c r="G495" s="10" t="n"/>
      <c r="H495" s="10" t="n"/>
      <c r="I495" s="9">
        <f>IF(OR(G495="",H495=""),"",((H495-G495)*24))</f>
        <v/>
      </c>
    </row>
    <row r="496">
      <c r="A496" s="8" t="n"/>
      <c r="G496" s="10" t="n"/>
      <c r="H496" s="10" t="n"/>
      <c r="I496" s="9">
        <f>IF(OR(G496="",H496=""),"",((H496-G496)*24))</f>
        <v/>
      </c>
    </row>
    <row r="497">
      <c r="A497" s="8" t="n"/>
      <c r="G497" s="10" t="n"/>
      <c r="H497" s="10" t="n"/>
      <c r="I497" s="9">
        <f>IF(OR(G497="",H497=""),"",((H497-G497)*24))</f>
        <v/>
      </c>
    </row>
    <row r="498">
      <c r="A498" s="8" t="n"/>
      <c r="G498" s="10" t="n"/>
      <c r="H498" s="10" t="n"/>
      <c r="I498" s="9">
        <f>IF(OR(G498="",H498=""),"",((H498-G498)*24))</f>
        <v/>
      </c>
    </row>
    <row r="499">
      <c r="A499" s="8" t="n"/>
      <c r="G499" s="10" t="n"/>
      <c r="H499" s="10" t="n"/>
      <c r="I499" s="9">
        <f>IF(OR(G499="",H499=""),"",((H499-G499)*24))</f>
        <v/>
      </c>
    </row>
    <row r="500">
      <c r="A500" s="8" t="n"/>
      <c r="G500" s="10" t="n"/>
      <c r="H500" s="10" t="n"/>
      <c r="I500" s="9">
        <f>IF(OR(G500="",H500=""),"",((H500-G500)*24))</f>
        <v/>
      </c>
    </row>
    <row r="501">
      <c r="A501" s="8" t="n"/>
      <c r="G501" s="10" t="n"/>
      <c r="H501" s="10" t="n"/>
      <c r="I501" s="9">
        <f>IF(OR(G501="",H501=""),"",((H501-G501)*24))</f>
        <v/>
      </c>
    </row>
    <row r="502">
      <c r="A502" s="8" t="n"/>
      <c r="G502" s="10" t="n"/>
      <c r="H502" s="10" t="n"/>
      <c r="I502" s="9">
        <f>IF(OR(G502="",H502=""),"",((H502-G502)*24))</f>
        <v/>
      </c>
    </row>
    <row r="503">
      <c r="A503" s="8" t="n"/>
      <c r="G503" s="10" t="n"/>
      <c r="H503" s="10" t="n"/>
      <c r="I503" s="9">
        <f>IF(OR(G503="",H503=""),"",((H503-G503)*24))</f>
        <v/>
      </c>
    </row>
  </sheetData>
  <mergeCells count="1">
    <mergeCell ref="A1:J1"/>
  </mergeCells>
  <dataValidations count="1">
    <dataValidation sqref="F4:F503" showDropDown="0" showInputMessage="0" showErrorMessage="0" allowBlank="1" type="list">
      <formula1>=Settings!$B$7:$E$7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12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24" customWidth="1" min="12" max="12"/>
  </cols>
  <sheetData>
    <row r="1" ht="30" customHeight="1">
      <c r="A1" s="1" t="inlineStr">
        <is>
          <t>Student Fees &amp; Payments</t>
        </is>
      </c>
    </row>
    <row r="3">
      <c r="A3" s="7" t="inlineStr">
        <is>
          <t>Receipt No</t>
        </is>
      </c>
      <c r="B3" s="7" t="inlineStr">
        <is>
          <t>Date</t>
        </is>
      </c>
      <c r="C3" s="7" t="inlineStr">
        <is>
          <t>Student ID</t>
        </is>
      </c>
      <c r="D3" s="7" t="inlineStr">
        <is>
          <t>Student Name</t>
        </is>
      </c>
      <c r="E3" s="7" t="inlineStr">
        <is>
          <t>Class</t>
        </is>
      </c>
      <c r="F3" s="7" t="inlineStr">
        <is>
          <t>Fee Type</t>
        </is>
      </c>
      <c r="G3" s="7" t="inlineStr">
        <is>
          <t>Amount</t>
        </is>
      </c>
      <c r="H3" s="7" t="inlineStr">
        <is>
          <t>Paid</t>
        </is>
      </c>
      <c r="I3" s="7" t="inlineStr">
        <is>
          <t>Due</t>
        </is>
      </c>
      <c r="J3" s="7" t="inlineStr">
        <is>
          <t>Payment Method</t>
        </is>
      </c>
      <c r="K3" s="7" t="inlineStr">
        <is>
          <t>Status</t>
        </is>
      </c>
      <c r="L3" s="7" t="inlineStr">
        <is>
          <t>Remarks</t>
        </is>
      </c>
    </row>
    <row r="4">
      <c r="B4" s="8" t="n"/>
      <c r="I4">
        <f>IF(G4="","",G4-H4)</f>
        <v/>
      </c>
      <c r="K4">
        <f>IF(G4="","",IF(I4&lt;=0,"Paid",IF(H4&gt;0,"Partial","Due")))</f>
        <v/>
      </c>
    </row>
    <row r="5">
      <c r="B5" s="8" t="n"/>
      <c r="I5">
        <f>IF(G5="","",G5-H5)</f>
        <v/>
      </c>
      <c r="K5">
        <f>IF(G5="","",IF(I5&lt;=0,"Paid",IF(H5&gt;0,"Partial","Due")))</f>
        <v/>
      </c>
    </row>
    <row r="6">
      <c r="B6" s="8" t="n"/>
      <c r="I6">
        <f>IF(G6="","",G6-H6)</f>
        <v/>
      </c>
      <c r="K6">
        <f>IF(G6="","",IF(I6&lt;=0,"Paid",IF(H6&gt;0,"Partial","Due")))</f>
        <v/>
      </c>
    </row>
    <row r="7">
      <c r="B7" s="8" t="n"/>
      <c r="I7">
        <f>IF(G7="","",G7-H7)</f>
        <v/>
      </c>
      <c r="K7">
        <f>IF(G7="","",IF(I7&lt;=0,"Paid",IF(H7&gt;0,"Partial","Due")))</f>
        <v/>
      </c>
    </row>
    <row r="8">
      <c r="B8" s="8" t="n"/>
      <c r="I8">
        <f>IF(G8="","",G8-H8)</f>
        <v/>
      </c>
      <c r="K8">
        <f>IF(G8="","",IF(I8&lt;=0,"Paid",IF(H8&gt;0,"Partial","Due")))</f>
        <v/>
      </c>
    </row>
    <row r="9">
      <c r="B9" s="8" t="n"/>
      <c r="I9">
        <f>IF(G9="","",G9-H9)</f>
        <v/>
      </c>
      <c r="K9">
        <f>IF(G9="","",IF(I9&lt;=0,"Paid",IF(H9&gt;0,"Partial","Due")))</f>
        <v/>
      </c>
    </row>
    <row r="10">
      <c r="B10" s="8" t="n"/>
      <c r="I10">
        <f>IF(G10="","",G10-H10)</f>
        <v/>
      </c>
      <c r="K10">
        <f>IF(G10="","",IF(I10&lt;=0,"Paid",IF(H10&gt;0,"Partial","Due")))</f>
        <v/>
      </c>
    </row>
    <row r="11">
      <c r="B11" s="8" t="n"/>
      <c r="I11">
        <f>IF(G11="","",G11-H11)</f>
        <v/>
      </c>
      <c r="K11">
        <f>IF(G11="","",IF(I11&lt;=0,"Paid",IF(H11&gt;0,"Partial","Due")))</f>
        <v/>
      </c>
    </row>
    <row r="12">
      <c r="B12" s="8" t="n"/>
      <c r="I12">
        <f>IF(G12="","",G12-H12)</f>
        <v/>
      </c>
      <c r="K12">
        <f>IF(G12="","",IF(I12&lt;=0,"Paid",IF(H12&gt;0,"Partial","Due")))</f>
        <v/>
      </c>
    </row>
    <row r="13">
      <c r="B13" s="8" t="n"/>
      <c r="I13">
        <f>IF(G13="","",G13-H13)</f>
        <v/>
      </c>
      <c r="K13">
        <f>IF(G13="","",IF(I13&lt;=0,"Paid",IF(H13&gt;0,"Partial","Due")))</f>
        <v/>
      </c>
    </row>
    <row r="14">
      <c r="B14" s="8" t="n"/>
      <c r="I14">
        <f>IF(G14="","",G14-H14)</f>
        <v/>
      </c>
      <c r="K14">
        <f>IF(G14="","",IF(I14&lt;=0,"Paid",IF(H14&gt;0,"Partial","Due")))</f>
        <v/>
      </c>
    </row>
    <row r="15">
      <c r="B15" s="8" t="n"/>
      <c r="I15">
        <f>IF(G15="","",G15-H15)</f>
        <v/>
      </c>
      <c r="K15">
        <f>IF(G15="","",IF(I15&lt;=0,"Paid",IF(H15&gt;0,"Partial","Due")))</f>
        <v/>
      </c>
    </row>
    <row r="16">
      <c r="B16" s="8" t="n"/>
      <c r="I16">
        <f>IF(G16="","",G16-H16)</f>
        <v/>
      </c>
      <c r="K16">
        <f>IF(G16="","",IF(I16&lt;=0,"Paid",IF(H16&gt;0,"Partial","Due")))</f>
        <v/>
      </c>
    </row>
    <row r="17">
      <c r="B17" s="8" t="n"/>
      <c r="I17">
        <f>IF(G17="","",G17-H17)</f>
        <v/>
      </c>
      <c r="K17">
        <f>IF(G17="","",IF(I17&lt;=0,"Paid",IF(H17&gt;0,"Partial","Due")))</f>
        <v/>
      </c>
    </row>
    <row r="18">
      <c r="B18" s="8" t="n"/>
      <c r="I18">
        <f>IF(G18="","",G18-H18)</f>
        <v/>
      </c>
      <c r="K18">
        <f>IF(G18="","",IF(I18&lt;=0,"Paid",IF(H18&gt;0,"Partial","Due")))</f>
        <v/>
      </c>
    </row>
    <row r="19">
      <c r="B19" s="8" t="n"/>
      <c r="I19">
        <f>IF(G19="","",G19-H19)</f>
        <v/>
      </c>
      <c r="K19">
        <f>IF(G19="","",IF(I19&lt;=0,"Paid",IF(H19&gt;0,"Partial","Due")))</f>
        <v/>
      </c>
    </row>
    <row r="20">
      <c r="B20" s="8" t="n"/>
      <c r="I20">
        <f>IF(G20="","",G20-H20)</f>
        <v/>
      </c>
      <c r="K20">
        <f>IF(G20="","",IF(I20&lt;=0,"Paid",IF(H20&gt;0,"Partial","Due")))</f>
        <v/>
      </c>
    </row>
    <row r="21">
      <c r="B21" s="8" t="n"/>
      <c r="I21">
        <f>IF(G21="","",G21-H21)</f>
        <v/>
      </c>
      <c r="K21">
        <f>IF(G21="","",IF(I21&lt;=0,"Paid",IF(H21&gt;0,"Partial","Due")))</f>
        <v/>
      </c>
    </row>
    <row r="22">
      <c r="B22" s="8" t="n"/>
      <c r="I22">
        <f>IF(G22="","",G22-H22)</f>
        <v/>
      </c>
      <c r="K22">
        <f>IF(G22="","",IF(I22&lt;=0,"Paid",IF(H22&gt;0,"Partial","Due")))</f>
        <v/>
      </c>
    </row>
    <row r="23">
      <c r="B23" s="8" t="n"/>
      <c r="I23">
        <f>IF(G23="","",G23-H23)</f>
        <v/>
      </c>
      <c r="K23">
        <f>IF(G23="","",IF(I23&lt;=0,"Paid",IF(H23&gt;0,"Partial","Due")))</f>
        <v/>
      </c>
    </row>
    <row r="24">
      <c r="B24" s="8" t="n"/>
      <c r="I24">
        <f>IF(G24="","",G24-H24)</f>
        <v/>
      </c>
      <c r="K24">
        <f>IF(G24="","",IF(I24&lt;=0,"Paid",IF(H24&gt;0,"Partial","Due")))</f>
        <v/>
      </c>
    </row>
    <row r="25">
      <c r="B25" s="8" t="n"/>
      <c r="I25">
        <f>IF(G25="","",G25-H25)</f>
        <v/>
      </c>
      <c r="K25">
        <f>IF(G25="","",IF(I25&lt;=0,"Paid",IF(H25&gt;0,"Partial","Due")))</f>
        <v/>
      </c>
    </row>
    <row r="26">
      <c r="B26" s="8" t="n"/>
      <c r="I26">
        <f>IF(G26="","",G26-H26)</f>
        <v/>
      </c>
      <c r="K26">
        <f>IF(G26="","",IF(I26&lt;=0,"Paid",IF(H26&gt;0,"Partial","Due")))</f>
        <v/>
      </c>
    </row>
    <row r="27">
      <c r="B27" s="8" t="n"/>
      <c r="I27">
        <f>IF(G27="","",G27-H27)</f>
        <v/>
      </c>
      <c r="K27">
        <f>IF(G27="","",IF(I27&lt;=0,"Paid",IF(H27&gt;0,"Partial","Due")))</f>
        <v/>
      </c>
    </row>
    <row r="28">
      <c r="B28" s="8" t="n"/>
      <c r="I28">
        <f>IF(G28="","",G28-H28)</f>
        <v/>
      </c>
      <c r="K28">
        <f>IF(G28="","",IF(I28&lt;=0,"Paid",IF(H28&gt;0,"Partial","Due")))</f>
        <v/>
      </c>
    </row>
    <row r="29">
      <c r="B29" s="8" t="n"/>
      <c r="I29">
        <f>IF(G29="","",G29-H29)</f>
        <v/>
      </c>
      <c r="K29">
        <f>IF(G29="","",IF(I29&lt;=0,"Paid",IF(H29&gt;0,"Partial","Due")))</f>
        <v/>
      </c>
    </row>
    <row r="30">
      <c r="B30" s="8" t="n"/>
      <c r="I30">
        <f>IF(G30="","",G30-H30)</f>
        <v/>
      </c>
      <c r="K30">
        <f>IF(G30="","",IF(I30&lt;=0,"Paid",IF(H30&gt;0,"Partial","Due")))</f>
        <v/>
      </c>
    </row>
    <row r="31">
      <c r="B31" s="8" t="n"/>
      <c r="I31">
        <f>IF(G31="","",G31-H31)</f>
        <v/>
      </c>
      <c r="K31">
        <f>IF(G31="","",IF(I31&lt;=0,"Paid",IF(H31&gt;0,"Partial","Due")))</f>
        <v/>
      </c>
    </row>
    <row r="32">
      <c r="B32" s="8" t="n"/>
      <c r="I32">
        <f>IF(G32="","",G32-H32)</f>
        <v/>
      </c>
      <c r="K32">
        <f>IF(G32="","",IF(I32&lt;=0,"Paid",IF(H32&gt;0,"Partial","Due")))</f>
        <v/>
      </c>
    </row>
    <row r="33">
      <c r="B33" s="8" t="n"/>
      <c r="I33">
        <f>IF(G33="","",G33-H33)</f>
        <v/>
      </c>
      <c r="K33">
        <f>IF(G33="","",IF(I33&lt;=0,"Paid",IF(H33&gt;0,"Partial","Due")))</f>
        <v/>
      </c>
    </row>
    <row r="34">
      <c r="B34" s="8" t="n"/>
      <c r="I34">
        <f>IF(G34="","",G34-H34)</f>
        <v/>
      </c>
      <c r="K34">
        <f>IF(G34="","",IF(I34&lt;=0,"Paid",IF(H34&gt;0,"Partial","Due")))</f>
        <v/>
      </c>
    </row>
    <row r="35">
      <c r="B35" s="8" t="n"/>
      <c r="I35">
        <f>IF(G35="","",G35-H35)</f>
        <v/>
      </c>
      <c r="K35">
        <f>IF(G35="","",IF(I35&lt;=0,"Paid",IF(H35&gt;0,"Partial","Due")))</f>
        <v/>
      </c>
    </row>
    <row r="36">
      <c r="B36" s="8" t="n"/>
      <c r="I36">
        <f>IF(G36="","",G36-H36)</f>
        <v/>
      </c>
      <c r="K36">
        <f>IF(G36="","",IF(I36&lt;=0,"Paid",IF(H36&gt;0,"Partial","Due")))</f>
        <v/>
      </c>
    </row>
    <row r="37">
      <c r="B37" s="8" t="n"/>
      <c r="I37">
        <f>IF(G37="","",G37-H37)</f>
        <v/>
      </c>
      <c r="K37">
        <f>IF(G37="","",IF(I37&lt;=0,"Paid",IF(H37&gt;0,"Partial","Due")))</f>
        <v/>
      </c>
    </row>
    <row r="38">
      <c r="B38" s="8" t="n"/>
      <c r="I38">
        <f>IF(G38="","",G38-H38)</f>
        <v/>
      </c>
      <c r="K38">
        <f>IF(G38="","",IF(I38&lt;=0,"Paid",IF(H38&gt;0,"Partial","Due")))</f>
        <v/>
      </c>
    </row>
    <row r="39">
      <c r="B39" s="8" t="n"/>
      <c r="I39">
        <f>IF(G39="","",G39-H39)</f>
        <v/>
      </c>
      <c r="K39">
        <f>IF(G39="","",IF(I39&lt;=0,"Paid",IF(H39&gt;0,"Partial","Due")))</f>
        <v/>
      </c>
    </row>
    <row r="40">
      <c r="B40" s="8" t="n"/>
      <c r="I40">
        <f>IF(G40="","",G40-H40)</f>
        <v/>
      </c>
      <c r="K40">
        <f>IF(G40="","",IF(I40&lt;=0,"Paid",IF(H40&gt;0,"Partial","Due")))</f>
        <v/>
      </c>
    </row>
    <row r="41">
      <c r="B41" s="8" t="n"/>
      <c r="I41">
        <f>IF(G41="","",G41-H41)</f>
        <v/>
      </c>
      <c r="K41">
        <f>IF(G41="","",IF(I41&lt;=0,"Paid",IF(H41&gt;0,"Partial","Due")))</f>
        <v/>
      </c>
    </row>
    <row r="42">
      <c r="B42" s="8" t="n"/>
      <c r="I42">
        <f>IF(G42="","",G42-H42)</f>
        <v/>
      </c>
      <c r="K42">
        <f>IF(G42="","",IF(I42&lt;=0,"Paid",IF(H42&gt;0,"Partial","Due")))</f>
        <v/>
      </c>
    </row>
    <row r="43">
      <c r="B43" s="8" t="n"/>
      <c r="I43">
        <f>IF(G43="","",G43-H43)</f>
        <v/>
      </c>
      <c r="K43">
        <f>IF(G43="","",IF(I43&lt;=0,"Paid",IF(H43&gt;0,"Partial","Due")))</f>
        <v/>
      </c>
    </row>
    <row r="44">
      <c r="B44" s="8" t="n"/>
      <c r="I44">
        <f>IF(G44="","",G44-H44)</f>
        <v/>
      </c>
      <c r="K44">
        <f>IF(G44="","",IF(I44&lt;=0,"Paid",IF(H44&gt;0,"Partial","Due")))</f>
        <v/>
      </c>
    </row>
    <row r="45">
      <c r="B45" s="8" t="n"/>
      <c r="I45">
        <f>IF(G45="","",G45-H45)</f>
        <v/>
      </c>
      <c r="K45">
        <f>IF(G45="","",IF(I45&lt;=0,"Paid",IF(H45&gt;0,"Partial","Due")))</f>
        <v/>
      </c>
    </row>
    <row r="46">
      <c r="B46" s="8" t="n"/>
      <c r="I46">
        <f>IF(G46="","",G46-H46)</f>
        <v/>
      </c>
      <c r="K46">
        <f>IF(G46="","",IF(I46&lt;=0,"Paid",IF(H46&gt;0,"Partial","Due")))</f>
        <v/>
      </c>
    </row>
    <row r="47">
      <c r="B47" s="8" t="n"/>
      <c r="I47">
        <f>IF(G47="","",G47-H47)</f>
        <v/>
      </c>
      <c r="K47">
        <f>IF(G47="","",IF(I47&lt;=0,"Paid",IF(H47&gt;0,"Partial","Due")))</f>
        <v/>
      </c>
    </row>
    <row r="48">
      <c r="B48" s="8" t="n"/>
      <c r="I48">
        <f>IF(G48="","",G48-H48)</f>
        <v/>
      </c>
      <c r="K48">
        <f>IF(G48="","",IF(I48&lt;=0,"Paid",IF(H48&gt;0,"Partial","Due")))</f>
        <v/>
      </c>
    </row>
    <row r="49">
      <c r="B49" s="8" t="n"/>
      <c r="I49">
        <f>IF(G49="","",G49-H49)</f>
        <v/>
      </c>
      <c r="K49">
        <f>IF(G49="","",IF(I49&lt;=0,"Paid",IF(H49&gt;0,"Partial","Due")))</f>
        <v/>
      </c>
    </row>
    <row r="50">
      <c r="B50" s="8" t="n"/>
      <c r="I50">
        <f>IF(G50="","",G50-H50)</f>
        <v/>
      </c>
      <c r="K50">
        <f>IF(G50="","",IF(I50&lt;=0,"Paid",IF(H50&gt;0,"Partial","Due")))</f>
        <v/>
      </c>
    </row>
    <row r="51">
      <c r="B51" s="8" t="n"/>
      <c r="I51">
        <f>IF(G51="","",G51-H51)</f>
        <v/>
      </c>
      <c r="K51">
        <f>IF(G51="","",IF(I51&lt;=0,"Paid",IF(H51&gt;0,"Partial","Due")))</f>
        <v/>
      </c>
    </row>
    <row r="52">
      <c r="B52" s="8" t="n"/>
      <c r="I52">
        <f>IF(G52="","",G52-H52)</f>
        <v/>
      </c>
      <c r="K52">
        <f>IF(G52="","",IF(I52&lt;=0,"Paid",IF(H52&gt;0,"Partial","Due")))</f>
        <v/>
      </c>
    </row>
    <row r="53">
      <c r="B53" s="8" t="n"/>
      <c r="I53">
        <f>IF(G53="","",G53-H53)</f>
        <v/>
      </c>
      <c r="K53">
        <f>IF(G53="","",IF(I53&lt;=0,"Paid",IF(H53&gt;0,"Partial","Due")))</f>
        <v/>
      </c>
    </row>
    <row r="54">
      <c r="B54" s="8" t="n"/>
      <c r="I54">
        <f>IF(G54="","",G54-H54)</f>
        <v/>
      </c>
      <c r="K54">
        <f>IF(G54="","",IF(I54&lt;=0,"Paid",IF(H54&gt;0,"Partial","Due")))</f>
        <v/>
      </c>
    </row>
    <row r="55">
      <c r="B55" s="8" t="n"/>
      <c r="I55">
        <f>IF(G55="","",G55-H55)</f>
        <v/>
      </c>
      <c r="K55">
        <f>IF(G55="","",IF(I55&lt;=0,"Paid",IF(H55&gt;0,"Partial","Due")))</f>
        <v/>
      </c>
    </row>
    <row r="56">
      <c r="B56" s="8" t="n"/>
      <c r="I56">
        <f>IF(G56="","",G56-H56)</f>
        <v/>
      </c>
      <c r="K56">
        <f>IF(G56="","",IF(I56&lt;=0,"Paid",IF(H56&gt;0,"Partial","Due")))</f>
        <v/>
      </c>
    </row>
    <row r="57">
      <c r="B57" s="8" t="n"/>
      <c r="I57">
        <f>IF(G57="","",G57-H57)</f>
        <v/>
      </c>
      <c r="K57">
        <f>IF(G57="","",IF(I57&lt;=0,"Paid",IF(H57&gt;0,"Partial","Due")))</f>
        <v/>
      </c>
    </row>
    <row r="58">
      <c r="B58" s="8" t="n"/>
      <c r="I58">
        <f>IF(G58="","",G58-H58)</f>
        <v/>
      </c>
      <c r="K58">
        <f>IF(G58="","",IF(I58&lt;=0,"Paid",IF(H58&gt;0,"Partial","Due")))</f>
        <v/>
      </c>
    </row>
    <row r="59">
      <c r="B59" s="8" t="n"/>
      <c r="I59">
        <f>IF(G59="","",G59-H59)</f>
        <v/>
      </c>
      <c r="K59">
        <f>IF(G59="","",IF(I59&lt;=0,"Paid",IF(H59&gt;0,"Partial","Due")))</f>
        <v/>
      </c>
    </row>
    <row r="60">
      <c r="B60" s="8" t="n"/>
      <c r="I60">
        <f>IF(G60="","",G60-H60)</f>
        <v/>
      </c>
      <c r="K60">
        <f>IF(G60="","",IF(I60&lt;=0,"Paid",IF(H60&gt;0,"Partial","Due")))</f>
        <v/>
      </c>
    </row>
    <row r="61">
      <c r="B61" s="8" t="n"/>
      <c r="I61">
        <f>IF(G61="","",G61-H61)</f>
        <v/>
      </c>
      <c r="K61">
        <f>IF(G61="","",IF(I61&lt;=0,"Paid",IF(H61&gt;0,"Partial","Due")))</f>
        <v/>
      </c>
    </row>
    <row r="62">
      <c r="B62" s="8" t="n"/>
      <c r="I62">
        <f>IF(G62="","",G62-H62)</f>
        <v/>
      </c>
      <c r="K62">
        <f>IF(G62="","",IF(I62&lt;=0,"Paid",IF(H62&gt;0,"Partial","Due")))</f>
        <v/>
      </c>
    </row>
    <row r="63">
      <c r="B63" s="8" t="n"/>
      <c r="I63">
        <f>IF(G63="","",G63-H63)</f>
        <v/>
      </c>
      <c r="K63">
        <f>IF(G63="","",IF(I63&lt;=0,"Paid",IF(H63&gt;0,"Partial","Due")))</f>
        <v/>
      </c>
    </row>
    <row r="64">
      <c r="B64" s="8" t="n"/>
      <c r="I64">
        <f>IF(G64="","",G64-H64)</f>
        <v/>
      </c>
      <c r="K64">
        <f>IF(G64="","",IF(I64&lt;=0,"Paid",IF(H64&gt;0,"Partial","Due")))</f>
        <v/>
      </c>
    </row>
    <row r="65">
      <c r="B65" s="8" t="n"/>
      <c r="I65">
        <f>IF(G65="","",G65-H65)</f>
        <v/>
      </c>
      <c r="K65">
        <f>IF(G65="","",IF(I65&lt;=0,"Paid",IF(H65&gt;0,"Partial","Due")))</f>
        <v/>
      </c>
    </row>
    <row r="66">
      <c r="B66" s="8" t="n"/>
      <c r="I66">
        <f>IF(G66="","",G66-H66)</f>
        <v/>
      </c>
      <c r="K66">
        <f>IF(G66="","",IF(I66&lt;=0,"Paid",IF(H66&gt;0,"Partial","Due")))</f>
        <v/>
      </c>
    </row>
    <row r="67">
      <c r="B67" s="8" t="n"/>
      <c r="I67">
        <f>IF(G67="","",G67-H67)</f>
        <v/>
      </c>
      <c r="K67">
        <f>IF(G67="","",IF(I67&lt;=0,"Paid",IF(H67&gt;0,"Partial","Due")))</f>
        <v/>
      </c>
    </row>
    <row r="68">
      <c r="B68" s="8" t="n"/>
      <c r="I68">
        <f>IF(G68="","",G68-H68)</f>
        <v/>
      </c>
      <c r="K68">
        <f>IF(G68="","",IF(I68&lt;=0,"Paid",IF(H68&gt;0,"Partial","Due")))</f>
        <v/>
      </c>
    </row>
    <row r="69">
      <c r="B69" s="8" t="n"/>
      <c r="I69">
        <f>IF(G69="","",G69-H69)</f>
        <v/>
      </c>
      <c r="K69">
        <f>IF(G69="","",IF(I69&lt;=0,"Paid",IF(H69&gt;0,"Partial","Due")))</f>
        <v/>
      </c>
    </row>
    <row r="70">
      <c r="B70" s="8" t="n"/>
      <c r="I70">
        <f>IF(G70="","",G70-H70)</f>
        <v/>
      </c>
      <c r="K70">
        <f>IF(G70="","",IF(I70&lt;=0,"Paid",IF(H70&gt;0,"Partial","Due")))</f>
        <v/>
      </c>
    </row>
    <row r="71">
      <c r="B71" s="8" t="n"/>
      <c r="I71">
        <f>IF(G71="","",G71-H71)</f>
        <v/>
      </c>
      <c r="K71">
        <f>IF(G71="","",IF(I71&lt;=0,"Paid",IF(H71&gt;0,"Partial","Due")))</f>
        <v/>
      </c>
    </row>
    <row r="72">
      <c r="B72" s="8" t="n"/>
      <c r="I72">
        <f>IF(G72="","",G72-H72)</f>
        <v/>
      </c>
      <c r="K72">
        <f>IF(G72="","",IF(I72&lt;=0,"Paid",IF(H72&gt;0,"Partial","Due")))</f>
        <v/>
      </c>
    </row>
    <row r="73">
      <c r="B73" s="8" t="n"/>
      <c r="I73">
        <f>IF(G73="","",G73-H73)</f>
        <v/>
      </c>
      <c r="K73">
        <f>IF(G73="","",IF(I73&lt;=0,"Paid",IF(H73&gt;0,"Partial","Due")))</f>
        <v/>
      </c>
    </row>
    <row r="74">
      <c r="B74" s="8" t="n"/>
      <c r="I74">
        <f>IF(G74="","",G74-H74)</f>
        <v/>
      </c>
      <c r="K74">
        <f>IF(G74="","",IF(I74&lt;=0,"Paid",IF(H74&gt;0,"Partial","Due")))</f>
        <v/>
      </c>
    </row>
    <row r="75">
      <c r="B75" s="8" t="n"/>
      <c r="I75">
        <f>IF(G75="","",G75-H75)</f>
        <v/>
      </c>
      <c r="K75">
        <f>IF(G75="","",IF(I75&lt;=0,"Paid",IF(H75&gt;0,"Partial","Due")))</f>
        <v/>
      </c>
    </row>
    <row r="76">
      <c r="B76" s="8" t="n"/>
      <c r="I76">
        <f>IF(G76="","",G76-H76)</f>
        <v/>
      </c>
      <c r="K76">
        <f>IF(G76="","",IF(I76&lt;=0,"Paid",IF(H76&gt;0,"Partial","Due")))</f>
        <v/>
      </c>
    </row>
    <row r="77">
      <c r="B77" s="8" t="n"/>
      <c r="I77">
        <f>IF(G77="","",G77-H77)</f>
        <v/>
      </c>
      <c r="K77">
        <f>IF(G77="","",IF(I77&lt;=0,"Paid",IF(H77&gt;0,"Partial","Due")))</f>
        <v/>
      </c>
    </row>
    <row r="78">
      <c r="B78" s="8" t="n"/>
      <c r="I78">
        <f>IF(G78="","",G78-H78)</f>
        <v/>
      </c>
      <c r="K78">
        <f>IF(G78="","",IF(I78&lt;=0,"Paid",IF(H78&gt;0,"Partial","Due")))</f>
        <v/>
      </c>
    </row>
    <row r="79">
      <c r="B79" s="8" t="n"/>
      <c r="I79">
        <f>IF(G79="","",G79-H79)</f>
        <v/>
      </c>
      <c r="K79">
        <f>IF(G79="","",IF(I79&lt;=0,"Paid",IF(H79&gt;0,"Partial","Due")))</f>
        <v/>
      </c>
    </row>
    <row r="80">
      <c r="B80" s="8" t="n"/>
      <c r="I80">
        <f>IF(G80="","",G80-H80)</f>
        <v/>
      </c>
      <c r="K80">
        <f>IF(G80="","",IF(I80&lt;=0,"Paid",IF(H80&gt;0,"Partial","Due")))</f>
        <v/>
      </c>
    </row>
    <row r="81">
      <c r="B81" s="8" t="n"/>
      <c r="I81">
        <f>IF(G81="","",G81-H81)</f>
        <v/>
      </c>
      <c r="K81">
        <f>IF(G81="","",IF(I81&lt;=0,"Paid",IF(H81&gt;0,"Partial","Due")))</f>
        <v/>
      </c>
    </row>
    <row r="82">
      <c r="B82" s="8" t="n"/>
      <c r="I82">
        <f>IF(G82="","",G82-H82)</f>
        <v/>
      </c>
      <c r="K82">
        <f>IF(G82="","",IF(I82&lt;=0,"Paid",IF(H82&gt;0,"Partial","Due")))</f>
        <v/>
      </c>
    </row>
    <row r="83">
      <c r="B83" s="8" t="n"/>
      <c r="I83">
        <f>IF(G83="","",G83-H83)</f>
        <v/>
      </c>
      <c r="K83">
        <f>IF(G83="","",IF(I83&lt;=0,"Paid",IF(H83&gt;0,"Partial","Due")))</f>
        <v/>
      </c>
    </row>
    <row r="84">
      <c r="B84" s="8" t="n"/>
      <c r="I84">
        <f>IF(G84="","",G84-H84)</f>
        <v/>
      </c>
      <c r="K84">
        <f>IF(G84="","",IF(I84&lt;=0,"Paid",IF(H84&gt;0,"Partial","Due")))</f>
        <v/>
      </c>
    </row>
    <row r="85">
      <c r="B85" s="8" t="n"/>
      <c r="I85">
        <f>IF(G85="","",G85-H85)</f>
        <v/>
      </c>
      <c r="K85">
        <f>IF(G85="","",IF(I85&lt;=0,"Paid",IF(H85&gt;0,"Partial","Due")))</f>
        <v/>
      </c>
    </row>
    <row r="86">
      <c r="B86" s="8" t="n"/>
      <c r="I86">
        <f>IF(G86="","",G86-H86)</f>
        <v/>
      </c>
      <c r="K86">
        <f>IF(G86="","",IF(I86&lt;=0,"Paid",IF(H86&gt;0,"Partial","Due")))</f>
        <v/>
      </c>
    </row>
    <row r="87">
      <c r="B87" s="8" t="n"/>
      <c r="I87">
        <f>IF(G87="","",G87-H87)</f>
        <v/>
      </c>
      <c r="K87">
        <f>IF(G87="","",IF(I87&lt;=0,"Paid",IF(H87&gt;0,"Partial","Due")))</f>
        <v/>
      </c>
    </row>
    <row r="88">
      <c r="B88" s="8" t="n"/>
      <c r="I88">
        <f>IF(G88="","",G88-H88)</f>
        <v/>
      </c>
      <c r="K88">
        <f>IF(G88="","",IF(I88&lt;=0,"Paid",IF(H88&gt;0,"Partial","Due")))</f>
        <v/>
      </c>
    </row>
    <row r="89">
      <c r="B89" s="8" t="n"/>
      <c r="I89">
        <f>IF(G89="","",G89-H89)</f>
        <v/>
      </c>
      <c r="K89">
        <f>IF(G89="","",IF(I89&lt;=0,"Paid",IF(H89&gt;0,"Partial","Due")))</f>
        <v/>
      </c>
    </row>
    <row r="90">
      <c r="B90" s="8" t="n"/>
      <c r="I90">
        <f>IF(G90="","",G90-H90)</f>
        <v/>
      </c>
      <c r="K90">
        <f>IF(G90="","",IF(I90&lt;=0,"Paid",IF(H90&gt;0,"Partial","Due")))</f>
        <v/>
      </c>
    </row>
    <row r="91">
      <c r="B91" s="8" t="n"/>
      <c r="I91">
        <f>IF(G91="","",G91-H91)</f>
        <v/>
      </c>
      <c r="K91">
        <f>IF(G91="","",IF(I91&lt;=0,"Paid",IF(H91&gt;0,"Partial","Due")))</f>
        <v/>
      </c>
    </row>
    <row r="92">
      <c r="B92" s="8" t="n"/>
      <c r="I92">
        <f>IF(G92="","",G92-H92)</f>
        <v/>
      </c>
      <c r="K92">
        <f>IF(G92="","",IF(I92&lt;=0,"Paid",IF(H92&gt;0,"Partial","Due")))</f>
        <v/>
      </c>
    </row>
    <row r="93">
      <c r="B93" s="8" t="n"/>
      <c r="I93">
        <f>IF(G93="","",G93-H93)</f>
        <v/>
      </c>
      <c r="K93">
        <f>IF(G93="","",IF(I93&lt;=0,"Paid",IF(H93&gt;0,"Partial","Due")))</f>
        <v/>
      </c>
    </row>
    <row r="94">
      <c r="B94" s="8" t="n"/>
      <c r="I94">
        <f>IF(G94="","",G94-H94)</f>
        <v/>
      </c>
      <c r="K94">
        <f>IF(G94="","",IF(I94&lt;=0,"Paid",IF(H94&gt;0,"Partial","Due")))</f>
        <v/>
      </c>
    </row>
    <row r="95">
      <c r="B95" s="8" t="n"/>
      <c r="I95">
        <f>IF(G95="","",G95-H95)</f>
        <v/>
      </c>
      <c r="K95">
        <f>IF(G95="","",IF(I95&lt;=0,"Paid",IF(H95&gt;0,"Partial","Due")))</f>
        <v/>
      </c>
    </row>
    <row r="96">
      <c r="B96" s="8" t="n"/>
      <c r="I96">
        <f>IF(G96="","",G96-H96)</f>
        <v/>
      </c>
      <c r="K96">
        <f>IF(G96="","",IF(I96&lt;=0,"Paid",IF(H96&gt;0,"Partial","Due")))</f>
        <v/>
      </c>
    </row>
    <row r="97">
      <c r="B97" s="8" t="n"/>
      <c r="I97">
        <f>IF(G97="","",G97-H97)</f>
        <v/>
      </c>
      <c r="K97">
        <f>IF(G97="","",IF(I97&lt;=0,"Paid",IF(H97&gt;0,"Partial","Due")))</f>
        <v/>
      </c>
    </row>
    <row r="98">
      <c r="B98" s="8" t="n"/>
      <c r="I98">
        <f>IF(G98="","",G98-H98)</f>
        <v/>
      </c>
      <c r="K98">
        <f>IF(G98="","",IF(I98&lt;=0,"Paid",IF(H98&gt;0,"Partial","Due")))</f>
        <v/>
      </c>
    </row>
    <row r="99">
      <c r="B99" s="8" t="n"/>
      <c r="I99">
        <f>IF(G99="","",G99-H99)</f>
        <v/>
      </c>
      <c r="K99">
        <f>IF(G99="","",IF(I99&lt;=0,"Paid",IF(H99&gt;0,"Partial","Due")))</f>
        <v/>
      </c>
    </row>
    <row r="100">
      <c r="B100" s="8" t="n"/>
      <c r="I100">
        <f>IF(G100="","",G100-H100)</f>
        <v/>
      </c>
      <c r="K100">
        <f>IF(G100="","",IF(I100&lt;=0,"Paid",IF(H100&gt;0,"Partial","Due")))</f>
        <v/>
      </c>
    </row>
    <row r="101">
      <c r="B101" s="8" t="n"/>
      <c r="I101">
        <f>IF(G101="","",G101-H101)</f>
        <v/>
      </c>
      <c r="K101">
        <f>IF(G101="","",IF(I101&lt;=0,"Paid",IF(H101&gt;0,"Partial","Due")))</f>
        <v/>
      </c>
    </row>
    <row r="102">
      <c r="B102" s="8" t="n"/>
      <c r="I102">
        <f>IF(G102="","",G102-H102)</f>
        <v/>
      </c>
      <c r="K102">
        <f>IF(G102="","",IF(I102&lt;=0,"Paid",IF(H102&gt;0,"Partial","Due")))</f>
        <v/>
      </c>
    </row>
    <row r="103">
      <c r="B103" s="8" t="n"/>
      <c r="I103">
        <f>IF(G103="","",G103-H103)</f>
        <v/>
      </c>
      <c r="K103">
        <f>IF(G103="","",IF(I103&lt;=0,"Paid",IF(H103&gt;0,"Partial","Due")))</f>
        <v/>
      </c>
    </row>
    <row r="104">
      <c r="B104" s="8" t="n"/>
      <c r="I104">
        <f>IF(G104="","",G104-H104)</f>
        <v/>
      </c>
      <c r="K104">
        <f>IF(G104="","",IF(I104&lt;=0,"Paid",IF(H104&gt;0,"Partial","Due")))</f>
        <v/>
      </c>
    </row>
    <row r="105">
      <c r="B105" s="8" t="n"/>
      <c r="I105">
        <f>IF(G105="","",G105-H105)</f>
        <v/>
      </c>
      <c r="K105">
        <f>IF(G105="","",IF(I105&lt;=0,"Paid",IF(H105&gt;0,"Partial","Due")))</f>
        <v/>
      </c>
    </row>
    <row r="106">
      <c r="B106" s="8" t="n"/>
      <c r="I106">
        <f>IF(G106="","",G106-H106)</f>
        <v/>
      </c>
      <c r="K106">
        <f>IF(G106="","",IF(I106&lt;=0,"Paid",IF(H106&gt;0,"Partial","Due")))</f>
        <v/>
      </c>
    </row>
    <row r="107">
      <c r="B107" s="8" t="n"/>
      <c r="I107">
        <f>IF(G107="","",G107-H107)</f>
        <v/>
      </c>
      <c r="K107">
        <f>IF(G107="","",IF(I107&lt;=0,"Paid",IF(H107&gt;0,"Partial","Due")))</f>
        <v/>
      </c>
    </row>
    <row r="108">
      <c r="B108" s="8" t="n"/>
      <c r="I108">
        <f>IF(G108="","",G108-H108)</f>
        <v/>
      </c>
      <c r="K108">
        <f>IF(G108="","",IF(I108&lt;=0,"Paid",IF(H108&gt;0,"Partial","Due")))</f>
        <v/>
      </c>
    </row>
    <row r="109">
      <c r="B109" s="8" t="n"/>
      <c r="I109">
        <f>IF(G109="","",G109-H109)</f>
        <v/>
      </c>
      <c r="K109">
        <f>IF(G109="","",IF(I109&lt;=0,"Paid",IF(H109&gt;0,"Partial","Due")))</f>
        <v/>
      </c>
    </row>
    <row r="110">
      <c r="B110" s="8" t="n"/>
      <c r="I110">
        <f>IF(G110="","",G110-H110)</f>
        <v/>
      </c>
      <c r="K110">
        <f>IF(G110="","",IF(I110&lt;=0,"Paid",IF(H110&gt;0,"Partial","Due")))</f>
        <v/>
      </c>
    </row>
    <row r="111">
      <c r="B111" s="8" t="n"/>
      <c r="I111">
        <f>IF(G111="","",G111-H111)</f>
        <v/>
      </c>
      <c r="K111">
        <f>IF(G111="","",IF(I111&lt;=0,"Paid",IF(H111&gt;0,"Partial","Due")))</f>
        <v/>
      </c>
    </row>
    <row r="112">
      <c r="B112" s="8" t="n"/>
      <c r="I112">
        <f>IF(G112="","",G112-H112)</f>
        <v/>
      </c>
      <c r="K112">
        <f>IF(G112="","",IF(I112&lt;=0,"Paid",IF(H112&gt;0,"Partial","Due")))</f>
        <v/>
      </c>
    </row>
    <row r="113">
      <c r="B113" s="8" t="n"/>
      <c r="I113">
        <f>IF(G113="","",G113-H113)</f>
        <v/>
      </c>
      <c r="K113">
        <f>IF(G113="","",IF(I113&lt;=0,"Paid",IF(H113&gt;0,"Partial","Due")))</f>
        <v/>
      </c>
    </row>
    <row r="114">
      <c r="B114" s="8" t="n"/>
      <c r="I114">
        <f>IF(G114="","",G114-H114)</f>
        <v/>
      </c>
      <c r="K114">
        <f>IF(G114="","",IF(I114&lt;=0,"Paid",IF(H114&gt;0,"Partial","Due")))</f>
        <v/>
      </c>
    </row>
    <row r="115">
      <c r="B115" s="8" t="n"/>
      <c r="I115">
        <f>IF(G115="","",G115-H115)</f>
        <v/>
      </c>
      <c r="K115">
        <f>IF(G115="","",IF(I115&lt;=0,"Paid",IF(H115&gt;0,"Partial","Due")))</f>
        <v/>
      </c>
    </row>
    <row r="116">
      <c r="B116" s="8" t="n"/>
      <c r="I116">
        <f>IF(G116="","",G116-H116)</f>
        <v/>
      </c>
      <c r="K116">
        <f>IF(G116="","",IF(I116&lt;=0,"Paid",IF(H116&gt;0,"Partial","Due")))</f>
        <v/>
      </c>
    </row>
    <row r="117">
      <c r="B117" s="8" t="n"/>
      <c r="I117">
        <f>IF(G117="","",G117-H117)</f>
        <v/>
      </c>
      <c r="K117">
        <f>IF(G117="","",IF(I117&lt;=0,"Paid",IF(H117&gt;0,"Partial","Due")))</f>
        <v/>
      </c>
    </row>
    <row r="118">
      <c r="B118" s="8" t="n"/>
      <c r="I118">
        <f>IF(G118="","",G118-H118)</f>
        <v/>
      </c>
      <c r="K118">
        <f>IF(G118="","",IF(I118&lt;=0,"Paid",IF(H118&gt;0,"Partial","Due")))</f>
        <v/>
      </c>
    </row>
    <row r="119">
      <c r="B119" s="8" t="n"/>
      <c r="I119">
        <f>IF(G119="","",G119-H119)</f>
        <v/>
      </c>
      <c r="K119">
        <f>IF(G119="","",IF(I119&lt;=0,"Paid",IF(H119&gt;0,"Partial","Due")))</f>
        <v/>
      </c>
    </row>
    <row r="120">
      <c r="B120" s="8" t="n"/>
      <c r="I120">
        <f>IF(G120="","",G120-H120)</f>
        <v/>
      </c>
      <c r="K120">
        <f>IF(G120="","",IF(I120&lt;=0,"Paid",IF(H120&gt;0,"Partial","Due")))</f>
        <v/>
      </c>
    </row>
    <row r="121">
      <c r="B121" s="8" t="n"/>
      <c r="I121">
        <f>IF(G121="","",G121-H121)</f>
        <v/>
      </c>
      <c r="K121">
        <f>IF(G121="","",IF(I121&lt;=0,"Paid",IF(H121&gt;0,"Partial","Due")))</f>
        <v/>
      </c>
    </row>
    <row r="122">
      <c r="B122" s="8" t="n"/>
      <c r="I122">
        <f>IF(G122="","",G122-H122)</f>
        <v/>
      </c>
      <c r="K122">
        <f>IF(G122="","",IF(I122&lt;=0,"Paid",IF(H122&gt;0,"Partial","Due")))</f>
        <v/>
      </c>
    </row>
    <row r="123">
      <c r="B123" s="8" t="n"/>
      <c r="I123">
        <f>IF(G123="","",G123-H123)</f>
        <v/>
      </c>
      <c r="K123">
        <f>IF(G123="","",IF(I123&lt;=0,"Paid",IF(H123&gt;0,"Partial","Due")))</f>
        <v/>
      </c>
    </row>
    <row r="124">
      <c r="B124" s="8" t="n"/>
      <c r="I124">
        <f>IF(G124="","",G124-H124)</f>
        <v/>
      </c>
      <c r="K124">
        <f>IF(G124="","",IF(I124&lt;=0,"Paid",IF(H124&gt;0,"Partial","Due")))</f>
        <v/>
      </c>
    </row>
    <row r="125">
      <c r="B125" s="8" t="n"/>
      <c r="I125">
        <f>IF(G125="","",G125-H125)</f>
        <v/>
      </c>
      <c r="K125">
        <f>IF(G125="","",IF(I125&lt;=0,"Paid",IF(H125&gt;0,"Partial","Due")))</f>
        <v/>
      </c>
    </row>
    <row r="126">
      <c r="B126" s="8" t="n"/>
      <c r="I126">
        <f>IF(G126="","",G126-H126)</f>
        <v/>
      </c>
      <c r="K126">
        <f>IF(G126="","",IF(I126&lt;=0,"Paid",IF(H126&gt;0,"Partial","Due")))</f>
        <v/>
      </c>
    </row>
    <row r="127">
      <c r="B127" s="8" t="n"/>
      <c r="I127">
        <f>IF(G127="","",G127-H127)</f>
        <v/>
      </c>
      <c r="K127">
        <f>IF(G127="","",IF(I127&lt;=0,"Paid",IF(H127&gt;0,"Partial","Due")))</f>
        <v/>
      </c>
    </row>
    <row r="128">
      <c r="B128" s="8" t="n"/>
      <c r="I128">
        <f>IF(G128="","",G128-H128)</f>
        <v/>
      </c>
      <c r="K128">
        <f>IF(G128="","",IF(I128&lt;=0,"Paid",IF(H128&gt;0,"Partial","Due")))</f>
        <v/>
      </c>
    </row>
    <row r="129">
      <c r="B129" s="8" t="n"/>
      <c r="I129">
        <f>IF(G129="","",G129-H129)</f>
        <v/>
      </c>
      <c r="K129">
        <f>IF(G129="","",IF(I129&lt;=0,"Paid",IF(H129&gt;0,"Partial","Due")))</f>
        <v/>
      </c>
    </row>
    <row r="130">
      <c r="B130" s="8" t="n"/>
      <c r="I130">
        <f>IF(G130="","",G130-H130)</f>
        <v/>
      </c>
      <c r="K130">
        <f>IF(G130="","",IF(I130&lt;=0,"Paid",IF(H130&gt;0,"Partial","Due")))</f>
        <v/>
      </c>
    </row>
    <row r="131">
      <c r="B131" s="8" t="n"/>
      <c r="I131">
        <f>IF(G131="","",G131-H131)</f>
        <v/>
      </c>
      <c r="K131">
        <f>IF(G131="","",IF(I131&lt;=0,"Paid",IF(H131&gt;0,"Partial","Due")))</f>
        <v/>
      </c>
    </row>
    <row r="132">
      <c r="B132" s="8" t="n"/>
      <c r="I132">
        <f>IF(G132="","",G132-H132)</f>
        <v/>
      </c>
      <c r="K132">
        <f>IF(G132="","",IF(I132&lt;=0,"Paid",IF(H132&gt;0,"Partial","Due")))</f>
        <v/>
      </c>
    </row>
    <row r="133">
      <c r="B133" s="8" t="n"/>
      <c r="I133">
        <f>IF(G133="","",G133-H133)</f>
        <v/>
      </c>
      <c r="K133">
        <f>IF(G133="","",IF(I133&lt;=0,"Paid",IF(H133&gt;0,"Partial","Due")))</f>
        <v/>
      </c>
    </row>
    <row r="134">
      <c r="B134" s="8" t="n"/>
      <c r="I134">
        <f>IF(G134="","",G134-H134)</f>
        <v/>
      </c>
      <c r="K134">
        <f>IF(G134="","",IF(I134&lt;=0,"Paid",IF(H134&gt;0,"Partial","Due")))</f>
        <v/>
      </c>
    </row>
    <row r="135">
      <c r="B135" s="8" t="n"/>
      <c r="I135">
        <f>IF(G135="","",G135-H135)</f>
        <v/>
      </c>
      <c r="K135">
        <f>IF(G135="","",IF(I135&lt;=0,"Paid",IF(H135&gt;0,"Partial","Due")))</f>
        <v/>
      </c>
    </row>
    <row r="136">
      <c r="B136" s="8" t="n"/>
      <c r="I136">
        <f>IF(G136="","",G136-H136)</f>
        <v/>
      </c>
      <c r="K136">
        <f>IF(G136="","",IF(I136&lt;=0,"Paid",IF(H136&gt;0,"Partial","Due")))</f>
        <v/>
      </c>
    </row>
    <row r="137">
      <c r="B137" s="8" t="n"/>
      <c r="I137">
        <f>IF(G137="","",G137-H137)</f>
        <v/>
      </c>
      <c r="K137">
        <f>IF(G137="","",IF(I137&lt;=0,"Paid",IF(H137&gt;0,"Partial","Due")))</f>
        <v/>
      </c>
    </row>
    <row r="138">
      <c r="B138" s="8" t="n"/>
      <c r="I138">
        <f>IF(G138="","",G138-H138)</f>
        <v/>
      </c>
      <c r="K138">
        <f>IF(G138="","",IF(I138&lt;=0,"Paid",IF(H138&gt;0,"Partial","Due")))</f>
        <v/>
      </c>
    </row>
    <row r="139">
      <c r="B139" s="8" t="n"/>
      <c r="I139">
        <f>IF(G139="","",G139-H139)</f>
        <v/>
      </c>
      <c r="K139">
        <f>IF(G139="","",IF(I139&lt;=0,"Paid",IF(H139&gt;0,"Partial","Due")))</f>
        <v/>
      </c>
    </row>
    <row r="140">
      <c r="B140" s="8" t="n"/>
      <c r="I140">
        <f>IF(G140="","",G140-H140)</f>
        <v/>
      </c>
      <c r="K140">
        <f>IF(G140="","",IF(I140&lt;=0,"Paid",IF(H140&gt;0,"Partial","Due")))</f>
        <v/>
      </c>
    </row>
    <row r="141">
      <c r="B141" s="8" t="n"/>
      <c r="I141">
        <f>IF(G141="","",G141-H141)</f>
        <v/>
      </c>
      <c r="K141">
        <f>IF(G141="","",IF(I141&lt;=0,"Paid",IF(H141&gt;0,"Partial","Due")))</f>
        <v/>
      </c>
    </row>
    <row r="142">
      <c r="B142" s="8" t="n"/>
      <c r="I142">
        <f>IF(G142="","",G142-H142)</f>
        <v/>
      </c>
      <c r="K142">
        <f>IF(G142="","",IF(I142&lt;=0,"Paid",IF(H142&gt;0,"Partial","Due")))</f>
        <v/>
      </c>
    </row>
    <row r="143">
      <c r="B143" s="8" t="n"/>
      <c r="I143">
        <f>IF(G143="","",G143-H143)</f>
        <v/>
      </c>
      <c r="K143">
        <f>IF(G143="","",IF(I143&lt;=0,"Paid",IF(H143&gt;0,"Partial","Due")))</f>
        <v/>
      </c>
    </row>
    <row r="144">
      <c r="B144" s="8" t="n"/>
      <c r="I144">
        <f>IF(G144="","",G144-H144)</f>
        <v/>
      </c>
      <c r="K144">
        <f>IF(G144="","",IF(I144&lt;=0,"Paid",IF(H144&gt;0,"Partial","Due")))</f>
        <v/>
      </c>
    </row>
    <row r="145">
      <c r="B145" s="8" t="n"/>
      <c r="I145">
        <f>IF(G145="","",G145-H145)</f>
        <v/>
      </c>
      <c r="K145">
        <f>IF(G145="","",IF(I145&lt;=0,"Paid",IF(H145&gt;0,"Partial","Due")))</f>
        <v/>
      </c>
    </row>
    <row r="146">
      <c r="B146" s="8" t="n"/>
      <c r="I146">
        <f>IF(G146="","",G146-H146)</f>
        <v/>
      </c>
      <c r="K146">
        <f>IF(G146="","",IF(I146&lt;=0,"Paid",IF(H146&gt;0,"Partial","Due")))</f>
        <v/>
      </c>
    </row>
    <row r="147">
      <c r="B147" s="8" t="n"/>
      <c r="I147">
        <f>IF(G147="","",G147-H147)</f>
        <v/>
      </c>
      <c r="K147">
        <f>IF(G147="","",IF(I147&lt;=0,"Paid",IF(H147&gt;0,"Partial","Due")))</f>
        <v/>
      </c>
    </row>
    <row r="148">
      <c r="B148" s="8" t="n"/>
      <c r="I148">
        <f>IF(G148="","",G148-H148)</f>
        <v/>
      </c>
      <c r="K148">
        <f>IF(G148="","",IF(I148&lt;=0,"Paid",IF(H148&gt;0,"Partial","Due")))</f>
        <v/>
      </c>
    </row>
    <row r="149">
      <c r="B149" s="8" t="n"/>
      <c r="I149">
        <f>IF(G149="","",G149-H149)</f>
        <v/>
      </c>
      <c r="K149">
        <f>IF(G149="","",IF(I149&lt;=0,"Paid",IF(H149&gt;0,"Partial","Due")))</f>
        <v/>
      </c>
    </row>
    <row r="150">
      <c r="B150" s="8" t="n"/>
      <c r="I150">
        <f>IF(G150="","",G150-H150)</f>
        <v/>
      </c>
      <c r="K150">
        <f>IF(G150="","",IF(I150&lt;=0,"Paid",IF(H150&gt;0,"Partial","Due")))</f>
        <v/>
      </c>
    </row>
    <row r="151">
      <c r="B151" s="8" t="n"/>
      <c r="I151">
        <f>IF(G151="","",G151-H151)</f>
        <v/>
      </c>
      <c r="K151">
        <f>IF(G151="","",IF(I151&lt;=0,"Paid",IF(H151&gt;0,"Partial","Due")))</f>
        <v/>
      </c>
    </row>
    <row r="152">
      <c r="B152" s="8" t="n"/>
      <c r="I152">
        <f>IF(G152="","",G152-H152)</f>
        <v/>
      </c>
      <c r="K152">
        <f>IF(G152="","",IF(I152&lt;=0,"Paid",IF(H152&gt;0,"Partial","Due")))</f>
        <v/>
      </c>
    </row>
    <row r="153">
      <c r="B153" s="8" t="n"/>
      <c r="I153">
        <f>IF(G153="","",G153-H153)</f>
        <v/>
      </c>
      <c r="K153">
        <f>IF(G153="","",IF(I153&lt;=0,"Paid",IF(H153&gt;0,"Partial","Due")))</f>
        <v/>
      </c>
    </row>
    <row r="154">
      <c r="B154" s="8" t="n"/>
      <c r="I154">
        <f>IF(G154="","",G154-H154)</f>
        <v/>
      </c>
      <c r="K154">
        <f>IF(G154="","",IF(I154&lt;=0,"Paid",IF(H154&gt;0,"Partial","Due")))</f>
        <v/>
      </c>
    </row>
    <row r="155">
      <c r="B155" s="8" t="n"/>
      <c r="I155">
        <f>IF(G155="","",G155-H155)</f>
        <v/>
      </c>
      <c r="K155">
        <f>IF(G155="","",IF(I155&lt;=0,"Paid",IF(H155&gt;0,"Partial","Due")))</f>
        <v/>
      </c>
    </row>
    <row r="156">
      <c r="B156" s="8" t="n"/>
      <c r="I156">
        <f>IF(G156="","",G156-H156)</f>
        <v/>
      </c>
      <c r="K156">
        <f>IF(G156="","",IF(I156&lt;=0,"Paid",IF(H156&gt;0,"Partial","Due")))</f>
        <v/>
      </c>
    </row>
    <row r="157">
      <c r="B157" s="8" t="n"/>
      <c r="I157">
        <f>IF(G157="","",G157-H157)</f>
        <v/>
      </c>
      <c r="K157">
        <f>IF(G157="","",IF(I157&lt;=0,"Paid",IF(H157&gt;0,"Partial","Due")))</f>
        <v/>
      </c>
    </row>
    <row r="158">
      <c r="B158" s="8" t="n"/>
      <c r="I158">
        <f>IF(G158="","",G158-H158)</f>
        <v/>
      </c>
      <c r="K158">
        <f>IF(G158="","",IF(I158&lt;=0,"Paid",IF(H158&gt;0,"Partial","Due")))</f>
        <v/>
      </c>
    </row>
    <row r="159">
      <c r="B159" s="8" t="n"/>
      <c r="I159">
        <f>IF(G159="","",G159-H159)</f>
        <v/>
      </c>
      <c r="K159">
        <f>IF(G159="","",IF(I159&lt;=0,"Paid",IF(H159&gt;0,"Partial","Due")))</f>
        <v/>
      </c>
    </row>
    <row r="160">
      <c r="B160" s="8" t="n"/>
      <c r="I160">
        <f>IF(G160="","",G160-H160)</f>
        <v/>
      </c>
      <c r="K160">
        <f>IF(G160="","",IF(I160&lt;=0,"Paid",IF(H160&gt;0,"Partial","Due")))</f>
        <v/>
      </c>
    </row>
    <row r="161">
      <c r="B161" s="8" t="n"/>
      <c r="I161">
        <f>IF(G161="","",G161-H161)</f>
        <v/>
      </c>
      <c r="K161">
        <f>IF(G161="","",IF(I161&lt;=0,"Paid",IF(H161&gt;0,"Partial","Due")))</f>
        <v/>
      </c>
    </row>
    <row r="162">
      <c r="B162" s="8" t="n"/>
      <c r="I162">
        <f>IF(G162="","",G162-H162)</f>
        <v/>
      </c>
      <c r="K162">
        <f>IF(G162="","",IF(I162&lt;=0,"Paid",IF(H162&gt;0,"Partial","Due")))</f>
        <v/>
      </c>
    </row>
    <row r="163">
      <c r="B163" s="8" t="n"/>
      <c r="I163">
        <f>IF(G163="","",G163-H163)</f>
        <v/>
      </c>
      <c r="K163">
        <f>IF(G163="","",IF(I163&lt;=0,"Paid",IF(H163&gt;0,"Partial","Due")))</f>
        <v/>
      </c>
    </row>
    <row r="164">
      <c r="B164" s="8" t="n"/>
      <c r="I164">
        <f>IF(G164="","",G164-H164)</f>
        <v/>
      </c>
      <c r="K164">
        <f>IF(G164="","",IF(I164&lt;=0,"Paid",IF(H164&gt;0,"Partial","Due")))</f>
        <v/>
      </c>
    </row>
    <row r="165">
      <c r="B165" s="8" t="n"/>
      <c r="I165">
        <f>IF(G165="","",G165-H165)</f>
        <v/>
      </c>
      <c r="K165">
        <f>IF(G165="","",IF(I165&lt;=0,"Paid",IF(H165&gt;0,"Partial","Due")))</f>
        <v/>
      </c>
    </row>
    <row r="166">
      <c r="B166" s="8" t="n"/>
      <c r="I166">
        <f>IF(G166="","",G166-H166)</f>
        <v/>
      </c>
      <c r="K166">
        <f>IF(G166="","",IF(I166&lt;=0,"Paid",IF(H166&gt;0,"Partial","Due")))</f>
        <v/>
      </c>
    </row>
    <row r="167">
      <c r="B167" s="8" t="n"/>
      <c r="I167">
        <f>IF(G167="","",G167-H167)</f>
        <v/>
      </c>
      <c r="K167">
        <f>IF(G167="","",IF(I167&lt;=0,"Paid",IF(H167&gt;0,"Partial","Due")))</f>
        <v/>
      </c>
    </row>
    <row r="168">
      <c r="B168" s="8" t="n"/>
      <c r="I168">
        <f>IF(G168="","",G168-H168)</f>
        <v/>
      </c>
      <c r="K168">
        <f>IF(G168="","",IF(I168&lt;=0,"Paid",IF(H168&gt;0,"Partial","Due")))</f>
        <v/>
      </c>
    </row>
    <row r="169">
      <c r="B169" s="8" t="n"/>
      <c r="I169">
        <f>IF(G169="","",G169-H169)</f>
        <v/>
      </c>
      <c r="K169">
        <f>IF(G169="","",IF(I169&lt;=0,"Paid",IF(H169&gt;0,"Partial","Due")))</f>
        <v/>
      </c>
    </row>
    <row r="170">
      <c r="B170" s="8" t="n"/>
      <c r="I170">
        <f>IF(G170="","",G170-H170)</f>
        <v/>
      </c>
      <c r="K170">
        <f>IF(G170="","",IF(I170&lt;=0,"Paid",IF(H170&gt;0,"Partial","Due")))</f>
        <v/>
      </c>
    </row>
    <row r="171">
      <c r="B171" s="8" t="n"/>
      <c r="I171">
        <f>IF(G171="","",G171-H171)</f>
        <v/>
      </c>
      <c r="K171">
        <f>IF(G171="","",IF(I171&lt;=0,"Paid",IF(H171&gt;0,"Partial","Due")))</f>
        <v/>
      </c>
    </row>
    <row r="172">
      <c r="B172" s="8" t="n"/>
      <c r="I172">
        <f>IF(G172="","",G172-H172)</f>
        <v/>
      </c>
      <c r="K172">
        <f>IF(G172="","",IF(I172&lt;=0,"Paid",IF(H172&gt;0,"Partial","Due")))</f>
        <v/>
      </c>
    </row>
    <row r="173">
      <c r="B173" s="8" t="n"/>
      <c r="I173">
        <f>IF(G173="","",G173-H173)</f>
        <v/>
      </c>
      <c r="K173">
        <f>IF(G173="","",IF(I173&lt;=0,"Paid",IF(H173&gt;0,"Partial","Due")))</f>
        <v/>
      </c>
    </row>
    <row r="174">
      <c r="B174" s="8" t="n"/>
      <c r="I174">
        <f>IF(G174="","",G174-H174)</f>
        <v/>
      </c>
      <c r="K174">
        <f>IF(G174="","",IF(I174&lt;=0,"Paid",IF(H174&gt;0,"Partial","Due")))</f>
        <v/>
      </c>
    </row>
    <row r="175">
      <c r="B175" s="8" t="n"/>
      <c r="I175">
        <f>IF(G175="","",G175-H175)</f>
        <v/>
      </c>
      <c r="K175">
        <f>IF(G175="","",IF(I175&lt;=0,"Paid",IF(H175&gt;0,"Partial","Due")))</f>
        <v/>
      </c>
    </row>
    <row r="176">
      <c r="B176" s="8" t="n"/>
      <c r="I176">
        <f>IF(G176="","",G176-H176)</f>
        <v/>
      </c>
      <c r="K176">
        <f>IF(G176="","",IF(I176&lt;=0,"Paid",IF(H176&gt;0,"Partial","Due")))</f>
        <v/>
      </c>
    </row>
    <row r="177">
      <c r="B177" s="8" t="n"/>
      <c r="I177">
        <f>IF(G177="","",G177-H177)</f>
        <v/>
      </c>
      <c r="K177">
        <f>IF(G177="","",IF(I177&lt;=0,"Paid",IF(H177&gt;0,"Partial","Due")))</f>
        <v/>
      </c>
    </row>
    <row r="178">
      <c r="B178" s="8" t="n"/>
      <c r="I178">
        <f>IF(G178="","",G178-H178)</f>
        <v/>
      </c>
      <c r="K178">
        <f>IF(G178="","",IF(I178&lt;=0,"Paid",IF(H178&gt;0,"Partial","Due")))</f>
        <v/>
      </c>
    </row>
    <row r="179">
      <c r="B179" s="8" t="n"/>
      <c r="I179">
        <f>IF(G179="","",G179-H179)</f>
        <v/>
      </c>
      <c r="K179">
        <f>IF(G179="","",IF(I179&lt;=0,"Paid",IF(H179&gt;0,"Partial","Due")))</f>
        <v/>
      </c>
    </row>
    <row r="180">
      <c r="B180" s="8" t="n"/>
      <c r="I180">
        <f>IF(G180="","",G180-H180)</f>
        <v/>
      </c>
      <c r="K180">
        <f>IF(G180="","",IF(I180&lt;=0,"Paid",IF(H180&gt;0,"Partial","Due")))</f>
        <v/>
      </c>
    </row>
    <row r="181">
      <c r="B181" s="8" t="n"/>
      <c r="I181">
        <f>IF(G181="","",G181-H181)</f>
        <v/>
      </c>
      <c r="K181">
        <f>IF(G181="","",IF(I181&lt;=0,"Paid",IF(H181&gt;0,"Partial","Due")))</f>
        <v/>
      </c>
    </row>
    <row r="182">
      <c r="B182" s="8" t="n"/>
      <c r="I182">
        <f>IF(G182="","",G182-H182)</f>
        <v/>
      </c>
      <c r="K182">
        <f>IF(G182="","",IF(I182&lt;=0,"Paid",IF(H182&gt;0,"Partial","Due")))</f>
        <v/>
      </c>
    </row>
    <row r="183">
      <c r="B183" s="8" t="n"/>
      <c r="I183">
        <f>IF(G183="","",G183-H183)</f>
        <v/>
      </c>
      <c r="K183">
        <f>IF(G183="","",IF(I183&lt;=0,"Paid",IF(H183&gt;0,"Partial","Due")))</f>
        <v/>
      </c>
    </row>
    <row r="184">
      <c r="B184" s="8" t="n"/>
      <c r="I184">
        <f>IF(G184="","",G184-H184)</f>
        <v/>
      </c>
      <c r="K184">
        <f>IF(G184="","",IF(I184&lt;=0,"Paid",IF(H184&gt;0,"Partial","Due")))</f>
        <v/>
      </c>
    </row>
    <row r="185">
      <c r="B185" s="8" t="n"/>
      <c r="I185">
        <f>IF(G185="","",G185-H185)</f>
        <v/>
      </c>
      <c r="K185">
        <f>IF(G185="","",IF(I185&lt;=0,"Paid",IF(H185&gt;0,"Partial","Due")))</f>
        <v/>
      </c>
    </row>
    <row r="186">
      <c r="B186" s="8" t="n"/>
      <c r="I186">
        <f>IF(G186="","",G186-H186)</f>
        <v/>
      </c>
      <c r="K186">
        <f>IF(G186="","",IF(I186&lt;=0,"Paid",IF(H186&gt;0,"Partial","Due")))</f>
        <v/>
      </c>
    </row>
    <row r="187">
      <c r="B187" s="8" t="n"/>
      <c r="I187">
        <f>IF(G187="","",G187-H187)</f>
        <v/>
      </c>
      <c r="K187">
        <f>IF(G187="","",IF(I187&lt;=0,"Paid",IF(H187&gt;0,"Partial","Due")))</f>
        <v/>
      </c>
    </row>
    <row r="188">
      <c r="B188" s="8" t="n"/>
      <c r="I188">
        <f>IF(G188="","",G188-H188)</f>
        <v/>
      </c>
      <c r="K188">
        <f>IF(G188="","",IF(I188&lt;=0,"Paid",IF(H188&gt;0,"Partial","Due")))</f>
        <v/>
      </c>
    </row>
    <row r="189">
      <c r="B189" s="8" t="n"/>
      <c r="I189">
        <f>IF(G189="","",G189-H189)</f>
        <v/>
      </c>
      <c r="K189">
        <f>IF(G189="","",IF(I189&lt;=0,"Paid",IF(H189&gt;0,"Partial","Due")))</f>
        <v/>
      </c>
    </row>
    <row r="190">
      <c r="B190" s="8" t="n"/>
      <c r="I190">
        <f>IF(G190="","",G190-H190)</f>
        <v/>
      </c>
      <c r="K190">
        <f>IF(G190="","",IF(I190&lt;=0,"Paid",IF(H190&gt;0,"Partial","Due")))</f>
        <v/>
      </c>
    </row>
    <row r="191">
      <c r="B191" s="8" t="n"/>
      <c r="I191">
        <f>IF(G191="","",G191-H191)</f>
        <v/>
      </c>
      <c r="K191">
        <f>IF(G191="","",IF(I191&lt;=0,"Paid",IF(H191&gt;0,"Partial","Due")))</f>
        <v/>
      </c>
    </row>
    <row r="192">
      <c r="B192" s="8" t="n"/>
      <c r="I192">
        <f>IF(G192="","",G192-H192)</f>
        <v/>
      </c>
      <c r="K192">
        <f>IF(G192="","",IF(I192&lt;=0,"Paid",IF(H192&gt;0,"Partial","Due")))</f>
        <v/>
      </c>
    </row>
    <row r="193">
      <c r="B193" s="8" t="n"/>
      <c r="I193">
        <f>IF(G193="","",G193-H193)</f>
        <v/>
      </c>
      <c r="K193">
        <f>IF(G193="","",IF(I193&lt;=0,"Paid",IF(H193&gt;0,"Partial","Due")))</f>
        <v/>
      </c>
    </row>
    <row r="194">
      <c r="B194" s="8" t="n"/>
      <c r="I194">
        <f>IF(G194="","",G194-H194)</f>
        <v/>
      </c>
      <c r="K194">
        <f>IF(G194="","",IF(I194&lt;=0,"Paid",IF(H194&gt;0,"Partial","Due")))</f>
        <v/>
      </c>
    </row>
    <row r="195">
      <c r="B195" s="8" t="n"/>
      <c r="I195">
        <f>IF(G195="","",G195-H195)</f>
        <v/>
      </c>
      <c r="K195">
        <f>IF(G195="","",IF(I195&lt;=0,"Paid",IF(H195&gt;0,"Partial","Due")))</f>
        <v/>
      </c>
    </row>
    <row r="196">
      <c r="B196" s="8" t="n"/>
      <c r="I196">
        <f>IF(G196="","",G196-H196)</f>
        <v/>
      </c>
      <c r="K196">
        <f>IF(G196="","",IF(I196&lt;=0,"Paid",IF(H196&gt;0,"Partial","Due")))</f>
        <v/>
      </c>
    </row>
    <row r="197">
      <c r="B197" s="8" t="n"/>
      <c r="I197">
        <f>IF(G197="","",G197-H197)</f>
        <v/>
      </c>
      <c r="K197">
        <f>IF(G197="","",IF(I197&lt;=0,"Paid",IF(H197&gt;0,"Partial","Due")))</f>
        <v/>
      </c>
    </row>
    <row r="198">
      <c r="B198" s="8" t="n"/>
      <c r="I198">
        <f>IF(G198="","",G198-H198)</f>
        <v/>
      </c>
      <c r="K198">
        <f>IF(G198="","",IF(I198&lt;=0,"Paid",IF(H198&gt;0,"Partial","Due")))</f>
        <v/>
      </c>
    </row>
    <row r="199">
      <c r="B199" s="8" t="n"/>
      <c r="I199">
        <f>IF(G199="","",G199-H199)</f>
        <v/>
      </c>
      <c r="K199">
        <f>IF(G199="","",IF(I199&lt;=0,"Paid",IF(H199&gt;0,"Partial","Due")))</f>
        <v/>
      </c>
    </row>
    <row r="200">
      <c r="B200" s="8" t="n"/>
      <c r="I200">
        <f>IF(G200="","",G200-H200)</f>
        <v/>
      </c>
      <c r="K200">
        <f>IF(G200="","",IF(I200&lt;=0,"Paid",IF(H200&gt;0,"Partial","Due")))</f>
        <v/>
      </c>
    </row>
    <row r="201">
      <c r="B201" s="8" t="n"/>
      <c r="I201">
        <f>IF(G201="","",G201-H201)</f>
        <v/>
      </c>
      <c r="K201">
        <f>IF(G201="","",IF(I201&lt;=0,"Paid",IF(H201&gt;0,"Partial","Due")))</f>
        <v/>
      </c>
    </row>
    <row r="202">
      <c r="B202" s="8" t="n"/>
      <c r="I202">
        <f>IF(G202="","",G202-H202)</f>
        <v/>
      </c>
      <c r="K202">
        <f>IF(G202="","",IF(I202&lt;=0,"Paid",IF(H202&gt;0,"Partial","Due")))</f>
        <v/>
      </c>
    </row>
    <row r="203">
      <c r="B203" s="8" t="n"/>
      <c r="I203">
        <f>IF(G203="","",G203-H203)</f>
        <v/>
      </c>
      <c r="K203">
        <f>IF(G203="","",IF(I203&lt;=0,"Paid",IF(H203&gt;0,"Partial","Due")))</f>
        <v/>
      </c>
    </row>
    <row r="204">
      <c r="B204" s="8" t="n"/>
      <c r="I204">
        <f>IF(G204="","",G204-H204)</f>
        <v/>
      </c>
      <c r="K204">
        <f>IF(G204="","",IF(I204&lt;=0,"Paid",IF(H204&gt;0,"Partial","Due")))</f>
        <v/>
      </c>
    </row>
    <row r="205">
      <c r="B205" s="8" t="n"/>
      <c r="I205">
        <f>IF(G205="","",G205-H205)</f>
        <v/>
      </c>
      <c r="K205">
        <f>IF(G205="","",IF(I205&lt;=0,"Paid",IF(H205&gt;0,"Partial","Due")))</f>
        <v/>
      </c>
    </row>
    <row r="206">
      <c r="B206" s="8" t="n"/>
      <c r="I206">
        <f>IF(G206="","",G206-H206)</f>
        <v/>
      </c>
      <c r="K206">
        <f>IF(G206="","",IF(I206&lt;=0,"Paid",IF(H206&gt;0,"Partial","Due")))</f>
        <v/>
      </c>
    </row>
    <row r="207">
      <c r="B207" s="8" t="n"/>
      <c r="I207">
        <f>IF(G207="","",G207-H207)</f>
        <v/>
      </c>
      <c r="K207">
        <f>IF(G207="","",IF(I207&lt;=0,"Paid",IF(H207&gt;0,"Partial","Due")))</f>
        <v/>
      </c>
    </row>
    <row r="208">
      <c r="B208" s="8" t="n"/>
      <c r="I208">
        <f>IF(G208="","",G208-H208)</f>
        <v/>
      </c>
      <c r="K208">
        <f>IF(G208="","",IF(I208&lt;=0,"Paid",IF(H208&gt;0,"Partial","Due")))</f>
        <v/>
      </c>
    </row>
    <row r="209">
      <c r="B209" s="8" t="n"/>
      <c r="I209">
        <f>IF(G209="","",G209-H209)</f>
        <v/>
      </c>
      <c r="K209">
        <f>IF(G209="","",IF(I209&lt;=0,"Paid",IF(H209&gt;0,"Partial","Due")))</f>
        <v/>
      </c>
    </row>
    <row r="210">
      <c r="B210" s="8" t="n"/>
      <c r="I210">
        <f>IF(G210="","",G210-H210)</f>
        <v/>
      </c>
      <c r="K210">
        <f>IF(G210="","",IF(I210&lt;=0,"Paid",IF(H210&gt;0,"Partial","Due")))</f>
        <v/>
      </c>
    </row>
    <row r="211">
      <c r="B211" s="8" t="n"/>
      <c r="I211">
        <f>IF(G211="","",G211-H211)</f>
        <v/>
      </c>
      <c r="K211">
        <f>IF(G211="","",IF(I211&lt;=0,"Paid",IF(H211&gt;0,"Partial","Due")))</f>
        <v/>
      </c>
    </row>
    <row r="212">
      <c r="B212" s="8" t="n"/>
      <c r="I212">
        <f>IF(G212="","",G212-H212)</f>
        <v/>
      </c>
      <c r="K212">
        <f>IF(G212="","",IF(I212&lt;=0,"Paid",IF(H212&gt;0,"Partial","Due")))</f>
        <v/>
      </c>
    </row>
    <row r="213">
      <c r="B213" s="8" t="n"/>
      <c r="I213">
        <f>IF(G213="","",G213-H213)</f>
        <v/>
      </c>
      <c r="K213">
        <f>IF(G213="","",IF(I213&lt;=0,"Paid",IF(H213&gt;0,"Partial","Due")))</f>
        <v/>
      </c>
    </row>
    <row r="214">
      <c r="B214" s="8" t="n"/>
      <c r="I214">
        <f>IF(G214="","",G214-H214)</f>
        <v/>
      </c>
      <c r="K214">
        <f>IF(G214="","",IF(I214&lt;=0,"Paid",IF(H214&gt;0,"Partial","Due")))</f>
        <v/>
      </c>
    </row>
    <row r="215">
      <c r="B215" s="8" t="n"/>
      <c r="I215">
        <f>IF(G215="","",G215-H215)</f>
        <v/>
      </c>
      <c r="K215">
        <f>IF(G215="","",IF(I215&lt;=0,"Paid",IF(H215&gt;0,"Partial","Due")))</f>
        <v/>
      </c>
    </row>
    <row r="216">
      <c r="B216" s="8" t="n"/>
      <c r="I216">
        <f>IF(G216="","",G216-H216)</f>
        <v/>
      </c>
      <c r="K216">
        <f>IF(G216="","",IF(I216&lt;=0,"Paid",IF(H216&gt;0,"Partial","Due")))</f>
        <v/>
      </c>
    </row>
    <row r="217">
      <c r="B217" s="8" t="n"/>
      <c r="I217">
        <f>IF(G217="","",G217-H217)</f>
        <v/>
      </c>
      <c r="K217">
        <f>IF(G217="","",IF(I217&lt;=0,"Paid",IF(H217&gt;0,"Partial","Due")))</f>
        <v/>
      </c>
    </row>
    <row r="218">
      <c r="B218" s="8" t="n"/>
      <c r="I218">
        <f>IF(G218="","",G218-H218)</f>
        <v/>
      </c>
      <c r="K218">
        <f>IF(G218="","",IF(I218&lt;=0,"Paid",IF(H218&gt;0,"Partial","Due")))</f>
        <v/>
      </c>
    </row>
    <row r="219">
      <c r="B219" s="8" t="n"/>
      <c r="I219">
        <f>IF(G219="","",G219-H219)</f>
        <v/>
      </c>
      <c r="K219">
        <f>IF(G219="","",IF(I219&lt;=0,"Paid",IF(H219&gt;0,"Partial","Due")))</f>
        <v/>
      </c>
    </row>
    <row r="220">
      <c r="B220" s="8" t="n"/>
      <c r="I220">
        <f>IF(G220="","",G220-H220)</f>
        <v/>
      </c>
      <c r="K220">
        <f>IF(G220="","",IF(I220&lt;=0,"Paid",IF(H220&gt;0,"Partial","Due")))</f>
        <v/>
      </c>
    </row>
    <row r="221">
      <c r="B221" s="8" t="n"/>
      <c r="I221">
        <f>IF(G221="","",G221-H221)</f>
        <v/>
      </c>
      <c r="K221">
        <f>IF(G221="","",IF(I221&lt;=0,"Paid",IF(H221&gt;0,"Partial","Due")))</f>
        <v/>
      </c>
    </row>
    <row r="222">
      <c r="B222" s="8" t="n"/>
      <c r="I222">
        <f>IF(G222="","",G222-H222)</f>
        <v/>
      </c>
      <c r="K222">
        <f>IF(G222="","",IF(I222&lt;=0,"Paid",IF(H222&gt;0,"Partial","Due")))</f>
        <v/>
      </c>
    </row>
    <row r="223">
      <c r="B223" s="8" t="n"/>
      <c r="I223">
        <f>IF(G223="","",G223-H223)</f>
        <v/>
      </c>
      <c r="K223">
        <f>IF(G223="","",IF(I223&lt;=0,"Paid",IF(H223&gt;0,"Partial","Due")))</f>
        <v/>
      </c>
    </row>
    <row r="224">
      <c r="B224" s="8" t="n"/>
      <c r="I224">
        <f>IF(G224="","",G224-H224)</f>
        <v/>
      </c>
      <c r="K224">
        <f>IF(G224="","",IF(I224&lt;=0,"Paid",IF(H224&gt;0,"Partial","Due")))</f>
        <v/>
      </c>
    </row>
    <row r="225">
      <c r="B225" s="8" t="n"/>
      <c r="I225">
        <f>IF(G225="","",G225-H225)</f>
        <v/>
      </c>
      <c r="K225">
        <f>IF(G225="","",IF(I225&lt;=0,"Paid",IF(H225&gt;0,"Partial","Due")))</f>
        <v/>
      </c>
    </row>
    <row r="226">
      <c r="B226" s="8" t="n"/>
      <c r="I226">
        <f>IF(G226="","",G226-H226)</f>
        <v/>
      </c>
      <c r="K226">
        <f>IF(G226="","",IF(I226&lt;=0,"Paid",IF(H226&gt;0,"Partial","Due")))</f>
        <v/>
      </c>
    </row>
    <row r="227">
      <c r="B227" s="8" t="n"/>
      <c r="I227">
        <f>IF(G227="","",G227-H227)</f>
        <v/>
      </c>
      <c r="K227">
        <f>IF(G227="","",IF(I227&lt;=0,"Paid",IF(H227&gt;0,"Partial","Due")))</f>
        <v/>
      </c>
    </row>
    <row r="228">
      <c r="B228" s="8" t="n"/>
      <c r="I228">
        <f>IF(G228="","",G228-H228)</f>
        <v/>
      </c>
      <c r="K228">
        <f>IF(G228="","",IF(I228&lt;=0,"Paid",IF(H228&gt;0,"Partial","Due")))</f>
        <v/>
      </c>
    </row>
    <row r="229">
      <c r="B229" s="8" t="n"/>
      <c r="I229">
        <f>IF(G229="","",G229-H229)</f>
        <v/>
      </c>
      <c r="K229">
        <f>IF(G229="","",IF(I229&lt;=0,"Paid",IF(H229&gt;0,"Partial","Due")))</f>
        <v/>
      </c>
    </row>
    <row r="230">
      <c r="B230" s="8" t="n"/>
      <c r="I230">
        <f>IF(G230="","",G230-H230)</f>
        <v/>
      </c>
      <c r="K230">
        <f>IF(G230="","",IF(I230&lt;=0,"Paid",IF(H230&gt;0,"Partial","Due")))</f>
        <v/>
      </c>
    </row>
    <row r="231">
      <c r="B231" s="8" t="n"/>
      <c r="I231">
        <f>IF(G231="","",G231-H231)</f>
        <v/>
      </c>
      <c r="K231">
        <f>IF(G231="","",IF(I231&lt;=0,"Paid",IF(H231&gt;0,"Partial","Due")))</f>
        <v/>
      </c>
    </row>
    <row r="232">
      <c r="B232" s="8" t="n"/>
      <c r="I232">
        <f>IF(G232="","",G232-H232)</f>
        <v/>
      </c>
      <c r="K232">
        <f>IF(G232="","",IF(I232&lt;=0,"Paid",IF(H232&gt;0,"Partial","Due")))</f>
        <v/>
      </c>
    </row>
    <row r="233">
      <c r="B233" s="8" t="n"/>
      <c r="I233">
        <f>IF(G233="","",G233-H233)</f>
        <v/>
      </c>
      <c r="K233">
        <f>IF(G233="","",IF(I233&lt;=0,"Paid",IF(H233&gt;0,"Partial","Due")))</f>
        <v/>
      </c>
    </row>
    <row r="234">
      <c r="B234" s="8" t="n"/>
      <c r="I234">
        <f>IF(G234="","",G234-H234)</f>
        <v/>
      </c>
      <c r="K234">
        <f>IF(G234="","",IF(I234&lt;=0,"Paid",IF(H234&gt;0,"Partial","Due")))</f>
        <v/>
      </c>
    </row>
    <row r="235">
      <c r="B235" s="8" t="n"/>
      <c r="I235">
        <f>IF(G235="","",G235-H235)</f>
        <v/>
      </c>
      <c r="K235">
        <f>IF(G235="","",IF(I235&lt;=0,"Paid",IF(H235&gt;0,"Partial","Due")))</f>
        <v/>
      </c>
    </row>
    <row r="236">
      <c r="B236" s="8" t="n"/>
      <c r="I236">
        <f>IF(G236="","",G236-H236)</f>
        <v/>
      </c>
      <c r="K236">
        <f>IF(G236="","",IF(I236&lt;=0,"Paid",IF(H236&gt;0,"Partial","Due")))</f>
        <v/>
      </c>
    </row>
    <row r="237">
      <c r="B237" s="8" t="n"/>
      <c r="I237">
        <f>IF(G237="","",G237-H237)</f>
        <v/>
      </c>
      <c r="K237">
        <f>IF(G237="","",IF(I237&lt;=0,"Paid",IF(H237&gt;0,"Partial","Due")))</f>
        <v/>
      </c>
    </row>
    <row r="238">
      <c r="B238" s="8" t="n"/>
      <c r="I238">
        <f>IF(G238="","",G238-H238)</f>
        <v/>
      </c>
      <c r="K238">
        <f>IF(G238="","",IF(I238&lt;=0,"Paid",IF(H238&gt;0,"Partial","Due")))</f>
        <v/>
      </c>
    </row>
    <row r="239">
      <c r="B239" s="8" t="n"/>
      <c r="I239">
        <f>IF(G239="","",G239-H239)</f>
        <v/>
      </c>
      <c r="K239">
        <f>IF(G239="","",IF(I239&lt;=0,"Paid",IF(H239&gt;0,"Partial","Due")))</f>
        <v/>
      </c>
    </row>
    <row r="240">
      <c r="B240" s="8" t="n"/>
      <c r="I240">
        <f>IF(G240="","",G240-H240)</f>
        <v/>
      </c>
      <c r="K240">
        <f>IF(G240="","",IF(I240&lt;=0,"Paid",IF(H240&gt;0,"Partial","Due")))</f>
        <v/>
      </c>
    </row>
    <row r="241">
      <c r="B241" s="8" t="n"/>
      <c r="I241">
        <f>IF(G241="","",G241-H241)</f>
        <v/>
      </c>
      <c r="K241">
        <f>IF(G241="","",IF(I241&lt;=0,"Paid",IF(H241&gt;0,"Partial","Due")))</f>
        <v/>
      </c>
    </row>
    <row r="242">
      <c r="B242" s="8" t="n"/>
      <c r="I242">
        <f>IF(G242="","",G242-H242)</f>
        <v/>
      </c>
      <c r="K242">
        <f>IF(G242="","",IF(I242&lt;=0,"Paid",IF(H242&gt;0,"Partial","Due")))</f>
        <v/>
      </c>
    </row>
    <row r="243">
      <c r="B243" s="8" t="n"/>
      <c r="I243">
        <f>IF(G243="","",G243-H243)</f>
        <v/>
      </c>
      <c r="K243">
        <f>IF(G243="","",IF(I243&lt;=0,"Paid",IF(H243&gt;0,"Partial","Due")))</f>
        <v/>
      </c>
    </row>
    <row r="244">
      <c r="B244" s="8" t="n"/>
      <c r="I244">
        <f>IF(G244="","",G244-H244)</f>
        <v/>
      </c>
      <c r="K244">
        <f>IF(G244="","",IF(I244&lt;=0,"Paid",IF(H244&gt;0,"Partial","Due")))</f>
        <v/>
      </c>
    </row>
    <row r="245">
      <c r="B245" s="8" t="n"/>
      <c r="I245">
        <f>IF(G245="","",G245-H245)</f>
        <v/>
      </c>
      <c r="K245">
        <f>IF(G245="","",IF(I245&lt;=0,"Paid",IF(H245&gt;0,"Partial","Due")))</f>
        <v/>
      </c>
    </row>
    <row r="246">
      <c r="B246" s="8" t="n"/>
      <c r="I246">
        <f>IF(G246="","",G246-H246)</f>
        <v/>
      </c>
      <c r="K246">
        <f>IF(G246="","",IF(I246&lt;=0,"Paid",IF(H246&gt;0,"Partial","Due")))</f>
        <v/>
      </c>
    </row>
    <row r="247">
      <c r="B247" s="8" t="n"/>
      <c r="I247">
        <f>IF(G247="","",G247-H247)</f>
        <v/>
      </c>
      <c r="K247">
        <f>IF(G247="","",IF(I247&lt;=0,"Paid",IF(H247&gt;0,"Partial","Due")))</f>
        <v/>
      </c>
    </row>
    <row r="248">
      <c r="B248" s="8" t="n"/>
      <c r="I248">
        <f>IF(G248="","",G248-H248)</f>
        <v/>
      </c>
      <c r="K248">
        <f>IF(G248="","",IF(I248&lt;=0,"Paid",IF(H248&gt;0,"Partial","Due")))</f>
        <v/>
      </c>
    </row>
    <row r="249">
      <c r="B249" s="8" t="n"/>
      <c r="I249">
        <f>IF(G249="","",G249-H249)</f>
        <v/>
      </c>
      <c r="K249">
        <f>IF(G249="","",IF(I249&lt;=0,"Paid",IF(H249&gt;0,"Partial","Due")))</f>
        <v/>
      </c>
    </row>
    <row r="250">
      <c r="B250" s="8" t="n"/>
      <c r="I250">
        <f>IF(G250="","",G250-H250)</f>
        <v/>
      </c>
      <c r="K250">
        <f>IF(G250="","",IF(I250&lt;=0,"Paid",IF(H250&gt;0,"Partial","Due")))</f>
        <v/>
      </c>
    </row>
    <row r="251">
      <c r="B251" s="8" t="n"/>
      <c r="I251">
        <f>IF(G251="","",G251-H251)</f>
        <v/>
      </c>
      <c r="K251">
        <f>IF(G251="","",IF(I251&lt;=0,"Paid",IF(H251&gt;0,"Partial","Due")))</f>
        <v/>
      </c>
    </row>
    <row r="252">
      <c r="B252" s="8" t="n"/>
      <c r="I252">
        <f>IF(G252="","",G252-H252)</f>
        <v/>
      </c>
      <c r="K252">
        <f>IF(G252="","",IF(I252&lt;=0,"Paid",IF(H252&gt;0,"Partial","Due")))</f>
        <v/>
      </c>
    </row>
    <row r="253">
      <c r="B253" s="8" t="n"/>
      <c r="I253">
        <f>IF(G253="","",G253-H253)</f>
        <v/>
      </c>
      <c r="K253">
        <f>IF(G253="","",IF(I253&lt;=0,"Paid",IF(H253&gt;0,"Partial","Due")))</f>
        <v/>
      </c>
    </row>
    <row r="254">
      <c r="B254" s="8" t="n"/>
      <c r="I254">
        <f>IF(G254="","",G254-H254)</f>
        <v/>
      </c>
      <c r="K254">
        <f>IF(G254="","",IF(I254&lt;=0,"Paid",IF(H254&gt;0,"Partial","Due")))</f>
        <v/>
      </c>
    </row>
    <row r="255">
      <c r="B255" s="8" t="n"/>
      <c r="I255">
        <f>IF(G255="","",G255-H255)</f>
        <v/>
      </c>
      <c r="K255">
        <f>IF(G255="","",IF(I255&lt;=0,"Paid",IF(H255&gt;0,"Partial","Due")))</f>
        <v/>
      </c>
    </row>
    <row r="256">
      <c r="B256" s="8" t="n"/>
      <c r="I256">
        <f>IF(G256="","",G256-H256)</f>
        <v/>
      </c>
      <c r="K256">
        <f>IF(G256="","",IF(I256&lt;=0,"Paid",IF(H256&gt;0,"Partial","Due")))</f>
        <v/>
      </c>
    </row>
    <row r="257">
      <c r="B257" s="8" t="n"/>
      <c r="I257">
        <f>IF(G257="","",G257-H257)</f>
        <v/>
      </c>
      <c r="K257">
        <f>IF(G257="","",IF(I257&lt;=0,"Paid",IF(H257&gt;0,"Partial","Due")))</f>
        <v/>
      </c>
    </row>
    <row r="258">
      <c r="B258" s="8" t="n"/>
      <c r="I258">
        <f>IF(G258="","",G258-H258)</f>
        <v/>
      </c>
      <c r="K258">
        <f>IF(G258="","",IF(I258&lt;=0,"Paid",IF(H258&gt;0,"Partial","Due")))</f>
        <v/>
      </c>
    </row>
    <row r="259">
      <c r="B259" s="8" t="n"/>
      <c r="I259">
        <f>IF(G259="","",G259-H259)</f>
        <v/>
      </c>
      <c r="K259">
        <f>IF(G259="","",IF(I259&lt;=0,"Paid",IF(H259&gt;0,"Partial","Due")))</f>
        <v/>
      </c>
    </row>
    <row r="260">
      <c r="B260" s="8" t="n"/>
      <c r="I260">
        <f>IF(G260="","",G260-H260)</f>
        <v/>
      </c>
      <c r="K260">
        <f>IF(G260="","",IF(I260&lt;=0,"Paid",IF(H260&gt;0,"Partial","Due")))</f>
        <v/>
      </c>
    </row>
    <row r="261">
      <c r="B261" s="8" t="n"/>
      <c r="I261">
        <f>IF(G261="","",G261-H261)</f>
        <v/>
      </c>
      <c r="K261">
        <f>IF(G261="","",IF(I261&lt;=0,"Paid",IF(H261&gt;0,"Partial","Due")))</f>
        <v/>
      </c>
    </row>
    <row r="262">
      <c r="B262" s="8" t="n"/>
      <c r="I262">
        <f>IF(G262="","",G262-H262)</f>
        <v/>
      </c>
      <c r="K262">
        <f>IF(G262="","",IF(I262&lt;=0,"Paid",IF(H262&gt;0,"Partial","Due")))</f>
        <v/>
      </c>
    </row>
    <row r="263">
      <c r="B263" s="8" t="n"/>
      <c r="I263">
        <f>IF(G263="","",G263-H263)</f>
        <v/>
      </c>
      <c r="K263">
        <f>IF(G263="","",IF(I263&lt;=0,"Paid",IF(H263&gt;0,"Partial","Due")))</f>
        <v/>
      </c>
    </row>
    <row r="264">
      <c r="B264" s="8" t="n"/>
      <c r="I264">
        <f>IF(G264="","",G264-H264)</f>
        <v/>
      </c>
      <c r="K264">
        <f>IF(G264="","",IF(I264&lt;=0,"Paid",IF(H264&gt;0,"Partial","Due")))</f>
        <v/>
      </c>
    </row>
    <row r="265">
      <c r="B265" s="8" t="n"/>
      <c r="I265">
        <f>IF(G265="","",G265-H265)</f>
        <v/>
      </c>
      <c r="K265">
        <f>IF(G265="","",IF(I265&lt;=0,"Paid",IF(H265&gt;0,"Partial","Due")))</f>
        <v/>
      </c>
    </row>
    <row r="266">
      <c r="B266" s="8" t="n"/>
      <c r="I266">
        <f>IF(G266="","",G266-H266)</f>
        <v/>
      </c>
      <c r="K266">
        <f>IF(G266="","",IF(I266&lt;=0,"Paid",IF(H266&gt;0,"Partial","Due")))</f>
        <v/>
      </c>
    </row>
    <row r="267">
      <c r="B267" s="8" t="n"/>
      <c r="I267">
        <f>IF(G267="","",G267-H267)</f>
        <v/>
      </c>
      <c r="K267">
        <f>IF(G267="","",IF(I267&lt;=0,"Paid",IF(H267&gt;0,"Partial","Due")))</f>
        <v/>
      </c>
    </row>
    <row r="268">
      <c r="B268" s="8" t="n"/>
      <c r="I268">
        <f>IF(G268="","",G268-H268)</f>
        <v/>
      </c>
      <c r="K268">
        <f>IF(G268="","",IF(I268&lt;=0,"Paid",IF(H268&gt;0,"Partial","Due")))</f>
        <v/>
      </c>
    </row>
    <row r="269">
      <c r="B269" s="8" t="n"/>
      <c r="I269">
        <f>IF(G269="","",G269-H269)</f>
        <v/>
      </c>
      <c r="K269">
        <f>IF(G269="","",IF(I269&lt;=0,"Paid",IF(H269&gt;0,"Partial","Due")))</f>
        <v/>
      </c>
    </row>
    <row r="270">
      <c r="B270" s="8" t="n"/>
      <c r="I270">
        <f>IF(G270="","",G270-H270)</f>
        <v/>
      </c>
      <c r="K270">
        <f>IF(G270="","",IF(I270&lt;=0,"Paid",IF(H270&gt;0,"Partial","Due")))</f>
        <v/>
      </c>
    </row>
    <row r="271">
      <c r="B271" s="8" t="n"/>
      <c r="I271">
        <f>IF(G271="","",G271-H271)</f>
        <v/>
      </c>
      <c r="K271">
        <f>IF(G271="","",IF(I271&lt;=0,"Paid",IF(H271&gt;0,"Partial","Due")))</f>
        <v/>
      </c>
    </row>
    <row r="272">
      <c r="B272" s="8" t="n"/>
      <c r="I272">
        <f>IF(G272="","",G272-H272)</f>
        <v/>
      </c>
      <c r="K272">
        <f>IF(G272="","",IF(I272&lt;=0,"Paid",IF(H272&gt;0,"Partial","Due")))</f>
        <v/>
      </c>
    </row>
    <row r="273">
      <c r="B273" s="8" t="n"/>
      <c r="I273">
        <f>IF(G273="","",G273-H273)</f>
        <v/>
      </c>
      <c r="K273">
        <f>IF(G273="","",IF(I273&lt;=0,"Paid",IF(H273&gt;0,"Partial","Due")))</f>
        <v/>
      </c>
    </row>
    <row r="274">
      <c r="B274" s="8" t="n"/>
      <c r="I274">
        <f>IF(G274="","",G274-H274)</f>
        <v/>
      </c>
      <c r="K274">
        <f>IF(G274="","",IF(I274&lt;=0,"Paid",IF(H274&gt;0,"Partial","Due")))</f>
        <v/>
      </c>
    </row>
    <row r="275">
      <c r="B275" s="8" t="n"/>
      <c r="I275">
        <f>IF(G275="","",G275-H275)</f>
        <v/>
      </c>
      <c r="K275">
        <f>IF(G275="","",IF(I275&lt;=0,"Paid",IF(H275&gt;0,"Partial","Due")))</f>
        <v/>
      </c>
    </row>
    <row r="276">
      <c r="B276" s="8" t="n"/>
      <c r="I276">
        <f>IF(G276="","",G276-H276)</f>
        <v/>
      </c>
      <c r="K276">
        <f>IF(G276="","",IF(I276&lt;=0,"Paid",IF(H276&gt;0,"Partial","Due")))</f>
        <v/>
      </c>
    </row>
    <row r="277">
      <c r="B277" s="8" t="n"/>
      <c r="I277">
        <f>IF(G277="","",G277-H277)</f>
        <v/>
      </c>
      <c r="K277">
        <f>IF(G277="","",IF(I277&lt;=0,"Paid",IF(H277&gt;0,"Partial","Due")))</f>
        <v/>
      </c>
    </row>
    <row r="278">
      <c r="B278" s="8" t="n"/>
      <c r="I278">
        <f>IF(G278="","",G278-H278)</f>
        <v/>
      </c>
      <c r="K278">
        <f>IF(G278="","",IF(I278&lt;=0,"Paid",IF(H278&gt;0,"Partial","Due")))</f>
        <v/>
      </c>
    </row>
    <row r="279">
      <c r="B279" s="8" t="n"/>
      <c r="I279">
        <f>IF(G279="","",G279-H279)</f>
        <v/>
      </c>
      <c r="K279">
        <f>IF(G279="","",IF(I279&lt;=0,"Paid",IF(H279&gt;0,"Partial","Due")))</f>
        <v/>
      </c>
    </row>
    <row r="280">
      <c r="B280" s="8" t="n"/>
      <c r="I280">
        <f>IF(G280="","",G280-H280)</f>
        <v/>
      </c>
      <c r="K280">
        <f>IF(G280="","",IF(I280&lt;=0,"Paid",IF(H280&gt;0,"Partial","Due")))</f>
        <v/>
      </c>
    </row>
    <row r="281">
      <c r="B281" s="8" t="n"/>
      <c r="I281">
        <f>IF(G281="","",G281-H281)</f>
        <v/>
      </c>
      <c r="K281">
        <f>IF(G281="","",IF(I281&lt;=0,"Paid",IF(H281&gt;0,"Partial","Due")))</f>
        <v/>
      </c>
    </row>
    <row r="282">
      <c r="B282" s="8" t="n"/>
      <c r="I282">
        <f>IF(G282="","",G282-H282)</f>
        <v/>
      </c>
      <c r="K282">
        <f>IF(G282="","",IF(I282&lt;=0,"Paid",IF(H282&gt;0,"Partial","Due")))</f>
        <v/>
      </c>
    </row>
    <row r="283">
      <c r="B283" s="8" t="n"/>
      <c r="I283">
        <f>IF(G283="","",G283-H283)</f>
        <v/>
      </c>
      <c r="K283">
        <f>IF(G283="","",IF(I283&lt;=0,"Paid",IF(H283&gt;0,"Partial","Due")))</f>
        <v/>
      </c>
    </row>
    <row r="284">
      <c r="B284" s="8" t="n"/>
      <c r="I284">
        <f>IF(G284="","",G284-H284)</f>
        <v/>
      </c>
      <c r="K284">
        <f>IF(G284="","",IF(I284&lt;=0,"Paid",IF(H284&gt;0,"Partial","Due")))</f>
        <v/>
      </c>
    </row>
    <row r="285">
      <c r="B285" s="8" t="n"/>
      <c r="I285">
        <f>IF(G285="","",G285-H285)</f>
        <v/>
      </c>
      <c r="K285">
        <f>IF(G285="","",IF(I285&lt;=0,"Paid",IF(H285&gt;0,"Partial","Due")))</f>
        <v/>
      </c>
    </row>
    <row r="286">
      <c r="B286" s="8" t="n"/>
      <c r="I286">
        <f>IF(G286="","",G286-H286)</f>
        <v/>
      </c>
      <c r="K286">
        <f>IF(G286="","",IF(I286&lt;=0,"Paid",IF(H286&gt;0,"Partial","Due")))</f>
        <v/>
      </c>
    </row>
    <row r="287">
      <c r="B287" s="8" t="n"/>
      <c r="I287">
        <f>IF(G287="","",G287-H287)</f>
        <v/>
      </c>
      <c r="K287">
        <f>IF(G287="","",IF(I287&lt;=0,"Paid",IF(H287&gt;0,"Partial","Due")))</f>
        <v/>
      </c>
    </row>
    <row r="288">
      <c r="B288" s="8" t="n"/>
      <c r="I288">
        <f>IF(G288="","",G288-H288)</f>
        <v/>
      </c>
      <c r="K288">
        <f>IF(G288="","",IF(I288&lt;=0,"Paid",IF(H288&gt;0,"Partial","Due")))</f>
        <v/>
      </c>
    </row>
    <row r="289">
      <c r="B289" s="8" t="n"/>
      <c r="I289">
        <f>IF(G289="","",G289-H289)</f>
        <v/>
      </c>
      <c r="K289">
        <f>IF(G289="","",IF(I289&lt;=0,"Paid",IF(H289&gt;0,"Partial","Due")))</f>
        <v/>
      </c>
    </row>
    <row r="290">
      <c r="B290" s="8" t="n"/>
      <c r="I290">
        <f>IF(G290="","",G290-H290)</f>
        <v/>
      </c>
      <c r="K290">
        <f>IF(G290="","",IF(I290&lt;=0,"Paid",IF(H290&gt;0,"Partial","Due")))</f>
        <v/>
      </c>
    </row>
    <row r="291">
      <c r="B291" s="8" t="n"/>
      <c r="I291">
        <f>IF(G291="","",G291-H291)</f>
        <v/>
      </c>
      <c r="K291">
        <f>IF(G291="","",IF(I291&lt;=0,"Paid",IF(H291&gt;0,"Partial","Due")))</f>
        <v/>
      </c>
    </row>
    <row r="292">
      <c r="B292" s="8" t="n"/>
      <c r="I292">
        <f>IF(G292="","",G292-H292)</f>
        <v/>
      </c>
      <c r="K292">
        <f>IF(G292="","",IF(I292&lt;=0,"Paid",IF(H292&gt;0,"Partial","Due")))</f>
        <v/>
      </c>
    </row>
    <row r="293">
      <c r="B293" s="8" t="n"/>
      <c r="I293">
        <f>IF(G293="","",G293-H293)</f>
        <v/>
      </c>
      <c r="K293">
        <f>IF(G293="","",IF(I293&lt;=0,"Paid",IF(H293&gt;0,"Partial","Due")))</f>
        <v/>
      </c>
    </row>
    <row r="294">
      <c r="B294" s="8" t="n"/>
      <c r="I294">
        <f>IF(G294="","",G294-H294)</f>
        <v/>
      </c>
      <c r="K294">
        <f>IF(G294="","",IF(I294&lt;=0,"Paid",IF(H294&gt;0,"Partial","Due")))</f>
        <v/>
      </c>
    </row>
    <row r="295">
      <c r="B295" s="8" t="n"/>
      <c r="I295">
        <f>IF(G295="","",G295-H295)</f>
        <v/>
      </c>
      <c r="K295">
        <f>IF(G295="","",IF(I295&lt;=0,"Paid",IF(H295&gt;0,"Partial","Due")))</f>
        <v/>
      </c>
    </row>
    <row r="296">
      <c r="B296" s="8" t="n"/>
      <c r="I296">
        <f>IF(G296="","",G296-H296)</f>
        <v/>
      </c>
      <c r="K296">
        <f>IF(G296="","",IF(I296&lt;=0,"Paid",IF(H296&gt;0,"Partial","Due")))</f>
        <v/>
      </c>
    </row>
    <row r="297">
      <c r="B297" s="8" t="n"/>
      <c r="I297">
        <f>IF(G297="","",G297-H297)</f>
        <v/>
      </c>
      <c r="K297">
        <f>IF(G297="","",IF(I297&lt;=0,"Paid",IF(H297&gt;0,"Partial","Due")))</f>
        <v/>
      </c>
    </row>
    <row r="298">
      <c r="B298" s="8" t="n"/>
      <c r="I298">
        <f>IF(G298="","",G298-H298)</f>
        <v/>
      </c>
      <c r="K298">
        <f>IF(G298="","",IF(I298&lt;=0,"Paid",IF(H298&gt;0,"Partial","Due")))</f>
        <v/>
      </c>
    </row>
    <row r="299">
      <c r="B299" s="8" t="n"/>
      <c r="I299">
        <f>IF(G299="","",G299-H299)</f>
        <v/>
      </c>
      <c r="K299">
        <f>IF(G299="","",IF(I299&lt;=0,"Paid",IF(H299&gt;0,"Partial","Due")))</f>
        <v/>
      </c>
    </row>
    <row r="300">
      <c r="B300" s="8" t="n"/>
      <c r="I300">
        <f>IF(G300="","",G300-H300)</f>
        <v/>
      </c>
      <c r="K300">
        <f>IF(G300="","",IF(I300&lt;=0,"Paid",IF(H300&gt;0,"Partial","Due")))</f>
        <v/>
      </c>
    </row>
    <row r="301">
      <c r="B301" s="8" t="n"/>
      <c r="I301">
        <f>IF(G301="","",G301-H301)</f>
        <v/>
      </c>
      <c r="K301">
        <f>IF(G301="","",IF(I301&lt;=0,"Paid",IF(H301&gt;0,"Partial","Due")))</f>
        <v/>
      </c>
    </row>
    <row r="302">
      <c r="B302" s="8" t="n"/>
      <c r="I302">
        <f>IF(G302="","",G302-H302)</f>
        <v/>
      </c>
      <c r="K302">
        <f>IF(G302="","",IF(I302&lt;=0,"Paid",IF(H302&gt;0,"Partial","Due")))</f>
        <v/>
      </c>
    </row>
    <row r="303">
      <c r="B303" s="8" t="n"/>
      <c r="I303">
        <f>IF(G303="","",G303-H303)</f>
        <v/>
      </c>
      <c r="K303">
        <f>IF(G303="","",IF(I303&lt;=0,"Paid",IF(H303&gt;0,"Partial","Due")))</f>
        <v/>
      </c>
    </row>
  </sheetData>
  <mergeCells count="1">
    <mergeCell ref="A1:L1"/>
  </mergeCells>
  <conditionalFormatting sqref="K4:K303">
    <cfRule type="cellIs" priority="1" operator="equal" dxfId="0">
      <formula>"Due"</formula>
    </cfRule>
  </conditionalFormatting>
  <dataValidations count="1">
    <dataValidation sqref="J4:J303" showDropDown="0" showInputMessage="0" showErrorMessage="0" allowBlank="1" type="list">
      <formula1>"Cash,Card,Bank,Mobile Banking,Other"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6" customWidth="1" min="4" max="4"/>
    <col width="28" customWidth="1" min="5" max="5"/>
    <col width="14" customWidth="1" min="6" max="6"/>
    <col width="24" customWidth="1" min="7" max="7"/>
    <col width="14" customWidth="1" min="8" max="8"/>
    <col width="12" customWidth="1" min="9" max="9"/>
    <col width="24" customWidth="1" min="10" max="10"/>
  </cols>
  <sheetData>
    <row r="1" ht="30" customHeight="1">
      <c r="A1" s="1" t="inlineStr">
        <is>
          <t>Teacher Master</t>
        </is>
      </c>
    </row>
    <row r="3">
      <c r="A3" s="7" t="inlineStr">
        <is>
          <t>Teacher ID</t>
        </is>
      </c>
      <c r="B3" s="7" t="inlineStr">
        <is>
          <t>Teacher Name</t>
        </is>
      </c>
      <c r="C3" s="7" t="inlineStr">
        <is>
          <t>Subject</t>
        </is>
      </c>
      <c r="D3" s="7" t="inlineStr">
        <is>
          <t>Phone</t>
        </is>
      </c>
      <c r="E3" s="7" t="inlineStr">
        <is>
          <t>Email</t>
        </is>
      </c>
      <c r="F3" s="7" t="inlineStr">
        <is>
          <t>Join Date</t>
        </is>
      </c>
      <c r="G3" s="7" t="inlineStr">
        <is>
          <t>Qualification</t>
        </is>
      </c>
      <c r="H3" s="7" t="inlineStr">
        <is>
          <t>Salary</t>
        </is>
      </c>
      <c r="I3" s="7" t="inlineStr">
        <is>
          <t>Status</t>
        </is>
      </c>
      <c r="J3" s="7" t="inlineStr">
        <is>
          <t>Remarks</t>
        </is>
      </c>
    </row>
    <row r="4">
      <c r="F4" s="8" t="n"/>
    </row>
    <row r="5">
      <c r="F5" s="8" t="n"/>
    </row>
    <row r="6">
      <c r="F6" s="8" t="n"/>
    </row>
    <row r="7">
      <c r="F7" s="8" t="n"/>
    </row>
    <row r="8">
      <c r="F8" s="8" t="n"/>
    </row>
    <row r="9">
      <c r="F9" s="8" t="n"/>
    </row>
    <row r="10">
      <c r="F10" s="8" t="n"/>
    </row>
    <row r="11">
      <c r="F11" s="8" t="n"/>
    </row>
    <row r="12">
      <c r="F12" s="8" t="n"/>
    </row>
    <row r="13">
      <c r="F13" s="8" t="n"/>
    </row>
    <row r="14">
      <c r="F14" s="8" t="n"/>
    </row>
    <row r="15">
      <c r="F15" s="8" t="n"/>
    </row>
    <row r="16">
      <c r="F16" s="8" t="n"/>
    </row>
    <row r="17">
      <c r="F17" s="8" t="n"/>
    </row>
    <row r="18">
      <c r="F18" s="8" t="n"/>
    </row>
    <row r="19">
      <c r="F19" s="8" t="n"/>
    </row>
    <row r="20">
      <c r="F20" s="8" t="n"/>
    </row>
    <row r="21">
      <c r="F21" s="8" t="n"/>
    </row>
    <row r="22">
      <c r="F22" s="8" t="n"/>
    </row>
    <row r="23">
      <c r="F23" s="8" t="n"/>
    </row>
    <row r="24">
      <c r="F24" s="8" t="n"/>
    </row>
    <row r="25">
      <c r="F25" s="8" t="n"/>
    </row>
    <row r="26">
      <c r="F26" s="8" t="n"/>
    </row>
    <row r="27">
      <c r="F27" s="8" t="n"/>
    </row>
    <row r="28">
      <c r="F28" s="8" t="n"/>
    </row>
    <row r="29">
      <c r="F29" s="8" t="n"/>
    </row>
    <row r="30">
      <c r="F30" s="8" t="n"/>
    </row>
    <row r="31">
      <c r="F31" s="8" t="n"/>
    </row>
    <row r="32">
      <c r="F32" s="8" t="n"/>
    </row>
    <row r="33">
      <c r="F33" s="8" t="n"/>
    </row>
    <row r="34">
      <c r="F34" s="8" t="n"/>
    </row>
    <row r="35">
      <c r="F35" s="8" t="n"/>
    </row>
    <row r="36">
      <c r="F36" s="8" t="n"/>
    </row>
    <row r="37">
      <c r="F37" s="8" t="n"/>
    </row>
    <row r="38">
      <c r="F38" s="8" t="n"/>
    </row>
    <row r="39">
      <c r="F39" s="8" t="n"/>
    </row>
    <row r="40">
      <c r="F40" s="8" t="n"/>
    </row>
    <row r="41">
      <c r="F41" s="8" t="n"/>
    </row>
    <row r="42">
      <c r="F42" s="8" t="n"/>
    </row>
    <row r="43">
      <c r="F43" s="8" t="n"/>
    </row>
    <row r="44">
      <c r="F44" s="8" t="n"/>
    </row>
    <row r="45">
      <c r="F45" s="8" t="n"/>
    </row>
    <row r="46">
      <c r="F46" s="8" t="n"/>
    </row>
    <row r="47">
      <c r="F47" s="8" t="n"/>
    </row>
    <row r="48">
      <c r="F48" s="8" t="n"/>
    </row>
    <row r="49">
      <c r="F49" s="8" t="n"/>
    </row>
    <row r="50">
      <c r="F50" s="8" t="n"/>
    </row>
    <row r="51">
      <c r="F51" s="8" t="n"/>
    </row>
    <row r="52">
      <c r="F52" s="8" t="n"/>
    </row>
    <row r="53">
      <c r="F53" s="8" t="n"/>
    </row>
    <row r="54">
      <c r="F54" s="8" t="n"/>
    </row>
    <row r="55">
      <c r="F55" s="8" t="n"/>
    </row>
    <row r="56">
      <c r="F56" s="8" t="n"/>
    </row>
    <row r="57">
      <c r="F57" s="8" t="n"/>
    </row>
    <row r="58">
      <c r="F58" s="8" t="n"/>
    </row>
    <row r="59">
      <c r="F59" s="8" t="n"/>
    </row>
    <row r="60">
      <c r="F60" s="8" t="n"/>
    </row>
    <row r="61">
      <c r="F61" s="8" t="n"/>
    </row>
    <row r="62">
      <c r="F62" s="8" t="n"/>
    </row>
    <row r="63">
      <c r="F63" s="8" t="n"/>
    </row>
    <row r="64">
      <c r="F64" s="8" t="n"/>
    </row>
    <row r="65">
      <c r="F65" s="8" t="n"/>
    </row>
    <row r="66">
      <c r="F66" s="8" t="n"/>
    </row>
    <row r="67">
      <c r="F67" s="8" t="n"/>
    </row>
    <row r="68">
      <c r="F68" s="8" t="n"/>
    </row>
    <row r="69">
      <c r="F69" s="8" t="n"/>
    </row>
    <row r="70">
      <c r="F70" s="8" t="n"/>
    </row>
    <row r="71">
      <c r="F71" s="8" t="n"/>
    </row>
    <row r="72">
      <c r="F72" s="8" t="n"/>
    </row>
    <row r="73">
      <c r="F73" s="8" t="n"/>
    </row>
    <row r="74">
      <c r="F74" s="8" t="n"/>
    </row>
    <row r="75">
      <c r="F75" s="8" t="n"/>
    </row>
    <row r="76">
      <c r="F76" s="8" t="n"/>
    </row>
    <row r="77">
      <c r="F77" s="8" t="n"/>
    </row>
    <row r="78">
      <c r="F78" s="8" t="n"/>
    </row>
    <row r="79">
      <c r="F79" s="8" t="n"/>
    </row>
    <row r="80">
      <c r="F80" s="8" t="n"/>
    </row>
    <row r="81">
      <c r="F81" s="8" t="n"/>
    </row>
    <row r="82">
      <c r="F82" s="8" t="n"/>
    </row>
    <row r="83">
      <c r="F83" s="8" t="n"/>
    </row>
    <row r="84">
      <c r="F84" s="8" t="n"/>
    </row>
    <row r="85">
      <c r="F85" s="8" t="n"/>
    </row>
    <row r="86">
      <c r="F86" s="8" t="n"/>
    </row>
    <row r="87">
      <c r="F87" s="8" t="n"/>
    </row>
    <row r="88">
      <c r="F88" s="8" t="n"/>
    </row>
    <row r="89">
      <c r="F89" s="8" t="n"/>
    </row>
    <row r="90">
      <c r="F90" s="8" t="n"/>
    </row>
    <row r="91">
      <c r="F91" s="8" t="n"/>
    </row>
    <row r="92">
      <c r="F92" s="8" t="n"/>
    </row>
    <row r="93">
      <c r="F93" s="8" t="n"/>
    </row>
    <row r="94">
      <c r="F94" s="8" t="n"/>
    </row>
    <row r="95">
      <c r="F95" s="8" t="n"/>
    </row>
    <row r="96">
      <c r="F96" s="8" t="n"/>
    </row>
    <row r="97">
      <c r="F97" s="8" t="n"/>
    </row>
    <row r="98">
      <c r="F98" s="8" t="n"/>
    </row>
    <row r="99">
      <c r="F99" s="8" t="n"/>
    </row>
    <row r="100">
      <c r="F100" s="8" t="n"/>
    </row>
    <row r="101">
      <c r="F101" s="8" t="n"/>
    </row>
    <row r="102">
      <c r="F102" s="8" t="n"/>
    </row>
    <row r="103">
      <c r="F103" s="8" t="n"/>
    </row>
  </sheetData>
  <mergeCells count="1">
    <mergeCell ref="A1:J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0" customHeight="1">
      <c r="A1" s="1" t="inlineStr">
        <is>
          <t>How to Use This School Management Excel System</t>
        </is>
      </c>
    </row>
    <row r="3">
      <c r="A3" s="7" t="inlineStr">
        <is>
          <t>Topic</t>
        </is>
      </c>
      <c r="B3" s="7" t="inlineStr">
        <is>
          <t>Instructions</t>
        </is>
      </c>
    </row>
    <row r="4" ht="32" customHeight="1">
      <c r="A4" s="6" t="inlineStr">
        <is>
          <t>Step 1</t>
        </is>
      </c>
      <c r="B4" s="11" t="inlineStr">
        <is>
          <t>Open Settings and update academic year, classes, gender/status and exam names.</t>
        </is>
      </c>
    </row>
    <row r="5" ht="32" customHeight="1">
      <c r="A5" s="6" t="inlineStr">
        <is>
          <t>Step 2</t>
        </is>
      </c>
      <c r="B5" s="11" t="inlineStr">
        <is>
          <t>Enter students in Student Registration. Keep one student per row and use a unique Registration No.</t>
        </is>
      </c>
    </row>
    <row r="6" ht="32" customHeight="1">
      <c r="A6" s="6" t="inlineStr">
        <is>
          <t>Step 3</t>
        </is>
      </c>
      <c r="B6" s="11" t="inlineStr">
        <is>
          <t>Enter subjects in Subject Master with Full Marks and Pass Marks.</t>
        </is>
      </c>
    </row>
    <row r="7" ht="32" customHeight="1">
      <c r="A7" s="6" t="inlineStr">
        <is>
          <t>Step 4</t>
        </is>
      </c>
      <c r="B7" s="11" t="inlineStr">
        <is>
          <t>Record attendance daily in Attendance.</t>
        </is>
      </c>
    </row>
    <row r="8" ht="32" customHeight="1">
      <c r="A8" s="6" t="inlineStr">
        <is>
          <t>Step 5</t>
        </is>
      </c>
      <c r="B8" s="11" t="inlineStr">
        <is>
          <t>Record fee invoices/receipts in Fees. Paid and Due are calculated automatically.</t>
        </is>
      </c>
    </row>
    <row r="9" ht="32" customHeight="1">
      <c r="A9" s="6" t="inlineStr">
        <is>
          <t>Step 6</t>
        </is>
      </c>
      <c r="B9" s="11" t="inlineStr">
        <is>
          <t>Enter exam marks in Marks. Total, Percentage, Grade and Result are automatic.</t>
        </is>
      </c>
    </row>
    <row r="10" ht="32" customHeight="1">
      <c r="A10" s="6" t="inlineStr">
        <is>
          <t>Step 7</t>
        </is>
      </c>
      <c r="B10" s="11" t="inlineStr">
        <is>
          <t>Use Result Summary to prepare student results.</t>
        </is>
      </c>
    </row>
    <row r="11" ht="32" customHeight="1">
      <c r="A11" s="6" t="inlineStr">
        <is>
          <t>Step 8</t>
        </is>
      </c>
      <c r="B11" s="11" t="inlineStr">
        <is>
          <t>Use Dashboard for school-level KPIs.</t>
        </is>
      </c>
    </row>
    <row r="12" ht="32" customHeight="1">
      <c r="A12" s="6" t="inlineStr">
        <is>
          <t>Best practice</t>
        </is>
      </c>
      <c r="B12" s="11" t="inlineStr">
        <is>
          <t>Do not overwrite formula columns. Add new records in the blank rows or extend the Excel Tables.</t>
        </is>
      </c>
    </row>
    <row r="13" ht="32" customHeight="1">
      <c r="A13" s="6" t="inlineStr">
        <is>
          <t>Backup</t>
        </is>
      </c>
      <c r="B13" s="11" t="inlineStr">
        <is>
          <t>Save dated copies regularly, e.g. School_Management_2026-09-11.xlsx.</t>
        </is>
      </c>
    </row>
    <row r="14" ht="32" customHeight="1">
      <c r="A14" s="6" t="inlineStr">
        <is>
          <t>Printing</t>
        </is>
      </c>
      <c r="B14" s="11" t="inlineStr">
        <is>
          <t>For report cards, filter the Result Summary by student/exam and print the required records.</t>
        </is>
      </c>
    </row>
    <row r="15" ht="32" customHeight="1">
      <c r="A15" s="6" t="inlineStr">
        <is>
          <t>Customization</t>
        </is>
      </c>
      <c r="B15" s="11" t="inlineStr">
        <is>
          <t>You can add subjects, classes, sections, fee types, teachers and additional fields as needed.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2026-09-11T03:14:23Z</dcterms:created>
  <dcterms:modified xmlns:dcterms="http://purl.org/dc/terms/" xmlns:xsi="http://www.w3.org/2001/XMLSchema-instance" xsi:type="dcterms:W3CDTF">2026-09-11T03:14:23Z</dcterms:modified>
</cp:coreProperties>
</file>