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epak mandal\Desktop\client file\"/>
    </mc:Choice>
  </mc:AlternateContent>
  <xr:revisionPtr revIDLastSave="0" documentId="8_{8C728196-FF40-4735-970B-77D4A5B92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ve Tracker" sheetId="1" r:id="rId1"/>
    <sheet name="Holiday List" sheetId="2" r:id="rId2"/>
    <sheet name="Dashboard" sheetId="3" r:id="rId3"/>
    <sheet name="Instructions" sheetId="4" r:id="rId4"/>
  </sheets>
  <definedNames>
    <definedName name="_xlnm._FilterDatabase" localSheetId="1" hidden="1">'Holiday List'!$A$3:$C$103</definedName>
    <definedName name="_xlnm._FilterDatabase" localSheetId="0" hidden="1">'Leave Tracker'!$A$4:$N$204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K204" i="1"/>
  <c r="J204" i="1"/>
  <c r="H204" i="1"/>
  <c r="G204" i="1"/>
  <c r="K203" i="1"/>
  <c r="J203" i="1"/>
  <c r="H203" i="1"/>
  <c r="G203" i="1"/>
  <c r="K202" i="1"/>
  <c r="J202" i="1"/>
  <c r="H202" i="1"/>
  <c r="G202" i="1"/>
  <c r="K201" i="1"/>
  <c r="J201" i="1"/>
  <c r="H201" i="1"/>
  <c r="G201" i="1"/>
  <c r="K200" i="1"/>
  <c r="J200" i="1"/>
  <c r="H200" i="1"/>
  <c r="G200" i="1"/>
  <c r="K199" i="1"/>
  <c r="J199" i="1"/>
  <c r="H199" i="1"/>
  <c r="G199" i="1"/>
  <c r="K198" i="1"/>
  <c r="J198" i="1"/>
  <c r="H198" i="1"/>
  <c r="G198" i="1"/>
  <c r="K197" i="1"/>
  <c r="J197" i="1"/>
  <c r="H197" i="1"/>
  <c r="G197" i="1"/>
  <c r="K196" i="1"/>
  <c r="J196" i="1"/>
  <c r="H196" i="1"/>
  <c r="G196" i="1"/>
  <c r="K195" i="1"/>
  <c r="J195" i="1"/>
  <c r="H195" i="1"/>
  <c r="G195" i="1"/>
  <c r="K194" i="1"/>
  <c r="J194" i="1"/>
  <c r="H194" i="1"/>
  <c r="G194" i="1"/>
  <c r="K193" i="1"/>
  <c r="J193" i="1"/>
  <c r="H193" i="1"/>
  <c r="G193" i="1"/>
  <c r="K192" i="1"/>
  <c r="J192" i="1"/>
  <c r="H192" i="1"/>
  <c r="G192" i="1"/>
  <c r="K191" i="1"/>
  <c r="J191" i="1"/>
  <c r="H191" i="1"/>
  <c r="G191" i="1"/>
  <c r="K190" i="1"/>
  <c r="J190" i="1"/>
  <c r="H190" i="1"/>
  <c r="G190" i="1"/>
  <c r="K189" i="1"/>
  <c r="J189" i="1"/>
  <c r="H189" i="1"/>
  <c r="G189" i="1"/>
  <c r="K188" i="1"/>
  <c r="J188" i="1"/>
  <c r="H188" i="1"/>
  <c r="G188" i="1"/>
  <c r="K187" i="1"/>
  <c r="J187" i="1"/>
  <c r="H187" i="1"/>
  <c r="G187" i="1"/>
  <c r="K186" i="1"/>
  <c r="J186" i="1"/>
  <c r="H186" i="1"/>
  <c r="G186" i="1"/>
  <c r="K185" i="1"/>
  <c r="J185" i="1"/>
  <c r="H185" i="1"/>
  <c r="G185" i="1"/>
  <c r="K184" i="1"/>
  <c r="J184" i="1"/>
  <c r="H184" i="1"/>
  <c r="G184" i="1"/>
  <c r="K183" i="1"/>
  <c r="J183" i="1"/>
  <c r="H183" i="1"/>
  <c r="G183" i="1"/>
  <c r="K182" i="1"/>
  <c r="J182" i="1"/>
  <c r="H182" i="1"/>
  <c r="G182" i="1"/>
  <c r="K181" i="1"/>
  <c r="J181" i="1"/>
  <c r="H181" i="1"/>
  <c r="G181" i="1"/>
  <c r="K180" i="1"/>
  <c r="J180" i="1"/>
  <c r="H180" i="1"/>
  <c r="G180" i="1"/>
  <c r="K179" i="1"/>
  <c r="J179" i="1"/>
  <c r="H179" i="1"/>
  <c r="G179" i="1"/>
  <c r="K178" i="1"/>
  <c r="J178" i="1"/>
  <c r="H178" i="1"/>
  <c r="G178" i="1"/>
  <c r="K177" i="1"/>
  <c r="J177" i="1"/>
  <c r="H177" i="1"/>
  <c r="G177" i="1"/>
  <c r="K176" i="1"/>
  <c r="J176" i="1"/>
  <c r="H176" i="1"/>
  <c r="G176" i="1"/>
  <c r="K175" i="1"/>
  <c r="J175" i="1"/>
  <c r="H175" i="1"/>
  <c r="G175" i="1"/>
  <c r="K174" i="1"/>
  <c r="J174" i="1"/>
  <c r="H174" i="1"/>
  <c r="G174" i="1"/>
  <c r="K173" i="1"/>
  <c r="J173" i="1"/>
  <c r="H173" i="1"/>
  <c r="G173" i="1"/>
  <c r="K172" i="1"/>
  <c r="J172" i="1"/>
  <c r="H172" i="1"/>
  <c r="G172" i="1"/>
  <c r="K171" i="1"/>
  <c r="J171" i="1"/>
  <c r="H171" i="1"/>
  <c r="G171" i="1"/>
  <c r="K170" i="1"/>
  <c r="J170" i="1"/>
  <c r="H170" i="1"/>
  <c r="G170" i="1"/>
  <c r="K169" i="1"/>
  <c r="J169" i="1"/>
  <c r="H169" i="1"/>
  <c r="G169" i="1"/>
  <c r="K168" i="1"/>
  <c r="J168" i="1"/>
  <c r="H168" i="1"/>
  <c r="G168" i="1"/>
  <c r="K167" i="1"/>
  <c r="J167" i="1"/>
  <c r="H167" i="1"/>
  <c r="G167" i="1"/>
  <c r="K166" i="1"/>
  <c r="J166" i="1"/>
  <c r="H166" i="1"/>
  <c r="G166" i="1"/>
  <c r="K165" i="1"/>
  <c r="J165" i="1"/>
  <c r="H165" i="1"/>
  <c r="G165" i="1"/>
  <c r="K164" i="1"/>
  <c r="J164" i="1"/>
  <c r="H164" i="1"/>
  <c r="G164" i="1"/>
  <c r="K163" i="1"/>
  <c r="J163" i="1"/>
  <c r="H163" i="1"/>
  <c r="G163" i="1"/>
  <c r="K162" i="1"/>
  <c r="J162" i="1"/>
  <c r="H162" i="1"/>
  <c r="G162" i="1"/>
  <c r="K161" i="1"/>
  <c r="J161" i="1"/>
  <c r="H161" i="1"/>
  <c r="G161" i="1"/>
  <c r="K160" i="1"/>
  <c r="J160" i="1"/>
  <c r="H160" i="1"/>
  <c r="G160" i="1"/>
  <c r="K159" i="1"/>
  <c r="J159" i="1"/>
  <c r="H159" i="1"/>
  <c r="G159" i="1"/>
  <c r="K158" i="1"/>
  <c r="J158" i="1"/>
  <c r="H158" i="1"/>
  <c r="G158" i="1"/>
  <c r="K157" i="1"/>
  <c r="J157" i="1"/>
  <c r="H157" i="1"/>
  <c r="G157" i="1"/>
  <c r="K156" i="1"/>
  <c r="J156" i="1"/>
  <c r="H156" i="1"/>
  <c r="G156" i="1"/>
  <c r="K155" i="1"/>
  <c r="J155" i="1"/>
  <c r="H155" i="1"/>
  <c r="G155" i="1"/>
  <c r="K154" i="1"/>
  <c r="J154" i="1"/>
  <c r="H154" i="1"/>
  <c r="G154" i="1"/>
  <c r="K153" i="1"/>
  <c r="J153" i="1"/>
  <c r="H153" i="1"/>
  <c r="G153" i="1"/>
  <c r="K152" i="1"/>
  <c r="J152" i="1"/>
  <c r="H152" i="1"/>
  <c r="G152" i="1"/>
  <c r="K151" i="1"/>
  <c r="J151" i="1"/>
  <c r="H151" i="1"/>
  <c r="G151" i="1"/>
  <c r="K150" i="1"/>
  <c r="J150" i="1"/>
  <c r="H150" i="1"/>
  <c r="G150" i="1"/>
  <c r="K149" i="1"/>
  <c r="J149" i="1"/>
  <c r="H149" i="1"/>
  <c r="G149" i="1"/>
  <c r="K148" i="1"/>
  <c r="J148" i="1"/>
  <c r="H148" i="1"/>
  <c r="G148" i="1"/>
  <c r="K147" i="1"/>
  <c r="J147" i="1"/>
  <c r="H147" i="1"/>
  <c r="G147" i="1"/>
  <c r="K146" i="1"/>
  <c r="J146" i="1"/>
  <c r="H146" i="1"/>
  <c r="G146" i="1"/>
  <c r="K145" i="1"/>
  <c r="J145" i="1"/>
  <c r="H145" i="1"/>
  <c r="G145" i="1"/>
  <c r="K144" i="1"/>
  <c r="J144" i="1"/>
  <c r="H144" i="1"/>
  <c r="G144" i="1"/>
  <c r="K143" i="1"/>
  <c r="J143" i="1"/>
  <c r="H143" i="1"/>
  <c r="G143" i="1"/>
  <c r="K142" i="1"/>
  <c r="J142" i="1"/>
  <c r="H142" i="1"/>
  <c r="G142" i="1"/>
  <c r="K141" i="1"/>
  <c r="J141" i="1"/>
  <c r="H141" i="1"/>
  <c r="G141" i="1"/>
  <c r="K140" i="1"/>
  <c r="J140" i="1"/>
  <c r="H140" i="1"/>
  <c r="G140" i="1"/>
  <c r="K139" i="1"/>
  <c r="J139" i="1"/>
  <c r="H139" i="1"/>
  <c r="G139" i="1"/>
  <c r="K138" i="1"/>
  <c r="J138" i="1"/>
  <c r="H138" i="1"/>
  <c r="G138" i="1"/>
  <c r="K137" i="1"/>
  <c r="J137" i="1"/>
  <c r="H137" i="1"/>
  <c r="G137" i="1"/>
  <c r="K136" i="1"/>
  <c r="J136" i="1"/>
  <c r="H136" i="1"/>
  <c r="G136" i="1"/>
  <c r="K135" i="1"/>
  <c r="J135" i="1"/>
  <c r="H135" i="1"/>
  <c r="G135" i="1"/>
  <c r="K134" i="1"/>
  <c r="J134" i="1"/>
  <c r="H134" i="1"/>
  <c r="G134" i="1"/>
  <c r="K133" i="1"/>
  <c r="J133" i="1"/>
  <c r="H133" i="1"/>
  <c r="G133" i="1"/>
  <c r="K132" i="1"/>
  <c r="J132" i="1"/>
  <c r="H132" i="1"/>
  <c r="G132" i="1"/>
  <c r="K131" i="1"/>
  <c r="J131" i="1"/>
  <c r="H131" i="1"/>
  <c r="G131" i="1"/>
  <c r="K130" i="1"/>
  <c r="J130" i="1"/>
  <c r="H130" i="1"/>
  <c r="G130" i="1"/>
  <c r="K129" i="1"/>
  <c r="J129" i="1"/>
  <c r="H129" i="1"/>
  <c r="G129" i="1"/>
  <c r="K128" i="1"/>
  <c r="J128" i="1"/>
  <c r="H128" i="1"/>
  <c r="G128" i="1"/>
  <c r="K127" i="1"/>
  <c r="J127" i="1"/>
  <c r="H127" i="1"/>
  <c r="G127" i="1"/>
  <c r="K126" i="1"/>
  <c r="J126" i="1"/>
  <c r="H126" i="1"/>
  <c r="G126" i="1"/>
  <c r="K125" i="1"/>
  <c r="J125" i="1"/>
  <c r="H125" i="1"/>
  <c r="G125" i="1"/>
  <c r="K124" i="1"/>
  <c r="J124" i="1"/>
  <c r="H124" i="1"/>
  <c r="G124" i="1"/>
  <c r="K123" i="1"/>
  <c r="J123" i="1"/>
  <c r="H123" i="1"/>
  <c r="G123" i="1"/>
  <c r="K122" i="1"/>
  <c r="J122" i="1"/>
  <c r="H122" i="1"/>
  <c r="G122" i="1"/>
  <c r="K121" i="1"/>
  <c r="J121" i="1"/>
  <c r="H121" i="1"/>
  <c r="G121" i="1"/>
  <c r="K120" i="1"/>
  <c r="J120" i="1"/>
  <c r="H120" i="1"/>
  <c r="G120" i="1"/>
  <c r="K119" i="1"/>
  <c r="J119" i="1"/>
  <c r="H119" i="1"/>
  <c r="G119" i="1"/>
  <c r="K118" i="1"/>
  <c r="J118" i="1"/>
  <c r="H118" i="1"/>
  <c r="G118" i="1"/>
  <c r="K117" i="1"/>
  <c r="J117" i="1"/>
  <c r="H117" i="1"/>
  <c r="G117" i="1"/>
  <c r="K116" i="1"/>
  <c r="J116" i="1"/>
  <c r="H116" i="1"/>
  <c r="G116" i="1"/>
  <c r="K115" i="1"/>
  <c r="J115" i="1"/>
  <c r="H115" i="1"/>
  <c r="G115" i="1"/>
  <c r="K114" i="1"/>
  <c r="J114" i="1"/>
  <c r="H114" i="1"/>
  <c r="G114" i="1"/>
  <c r="K113" i="1"/>
  <c r="J113" i="1"/>
  <c r="H113" i="1"/>
  <c r="G113" i="1"/>
  <c r="K112" i="1"/>
  <c r="J112" i="1"/>
  <c r="H112" i="1"/>
  <c r="G112" i="1"/>
  <c r="K111" i="1"/>
  <c r="J111" i="1"/>
  <c r="H111" i="1"/>
  <c r="G111" i="1"/>
  <c r="K110" i="1"/>
  <c r="J110" i="1"/>
  <c r="H110" i="1"/>
  <c r="G110" i="1"/>
  <c r="K109" i="1"/>
  <c r="J109" i="1"/>
  <c r="H109" i="1"/>
  <c r="G109" i="1"/>
  <c r="K108" i="1"/>
  <c r="J108" i="1"/>
  <c r="H108" i="1"/>
  <c r="G108" i="1"/>
  <c r="K107" i="1"/>
  <c r="J107" i="1"/>
  <c r="H107" i="1"/>
  <c r="G107" i="1"/>
  <c r="K106" i="1"/>
  <c r="J106" i="1"/>
  <c r="H106" i="1"/>
  <c r="G106" i="1"/>
  <c r="K105" i="1"/>
  <c r="J105" i="1"/>
  <c r="H105" i="1"/>
  <c r="G105" i="1"/>
  <c r="K104" i="1"/>
  <c r="J104" i="1"/>
  <c r="H104" i="1"/>
  <c r="G104" i="1"/>
  <c r="K103" i="1"/>
  <c r="J103" i="1"/>
  <c r="H103" i="1"/>
  <c r="G103" i="1"/>
  <c r="K102" i="1"/>
  <c r="J102" i="1"/>
  <c r="H102" i="1"/>
  <c r="G102" i="1"/>
  <c r="K101" i="1"/>
  <c r="J101" i="1"/>
  <c r="H101" i="1"/>
  <c r="G101" i="1"/>
  <c r="K100" i="1"/>
  <c r="J100" i="1"/>
  <c r="H100" i="1"/>
  <c r="G100" i="1"/>
  <c r="K99" i="1"/>
  <c r="J99" i="1"/>
  <c r="H99" i="1"/>
  <c r="G99" i="1"/>
  <c r="K98" i="1"/>
  <c r="J98" i="1"/>
  <c r="H98" i="1"/>
  <c r="G98" i="1"/>
  <c r="K97" i="1"/>
  <c r="J97" i="1"/>
  <c r="H97" i="1"/>
  <c r="G97" i="1"/>
  <c r="K96" i="1"/>
  <c r="J96" i="1"/>
  <c r="H96" i="1"/>
  <c r="G96" i="1"/>
  <c r="K95" i="1"/>
  <c r="J95" i="1"/>
  <c r="H95" i="1"/>
  <c r="G95" i="1"/>
  <c r="K94" i="1"/>
  <c r="J94" i="1"/>
  <c r="H94" i="1"/>
  <c r="G94" i="1"/>
  <c r="K93" i="1"/>
  <c r="J93" i="1"/>
  <c r="H93" i="1"/>
  <c r="G93" i="1"/>
  <c r="K92" i="1"/>
  <c r="J92" i="1"/>
  <c r="H92" i="1"/>
  <c r="G92" i="1"/>
  <c r="K91" i="1"/>
  <c r="J91" i="1"/>
  <c r="H91" i="1"/>
  <c r="G91" i="1"/>
  <c r="K90" i="1"/>
  <c r="J90" i="1"/>
  <c r="H90" i="1"/>
  <c r="G90" i="1"/>
  <c r="K89" i="1"/>
  <c r="J89" i="1"/>
  <c r="H89" i="1"/>
  <c r="G89" i="1"/>
  <c r="K88" i="1"/>
  <c r="J88" i="1"/>
  <c r="H88" i="1"/>
  <c r="G88" i="1"/>
  <c r="K87" i="1"/>
  <c r="J87" i="1"/>
  <c r="H87" i="1"/>
  <c r="G87" i="1"/>
  <c r="K86" i="1"/>
  <c r="J86" i="1"/>
  <c r="H86" i="1"/>
  <c r="G86" i="1"/>
  <c r="K85" i="1"/>
  <c r="J85" i="1"/>
  <c r="H85" i="1"/>
  <c r="G85" i="1"/>
  <c r="K84" i="1"/>
  <c r="J84" i="1"/>
  <c r="H84" i="1"/>
  <c r="G84" i="1"/>
  <c r="K83" i="1"/>
  <c r="J83" i="1"/>
  <c r="H83" i="1"/>
  <c r="G83" i="1"/>
  <c r="K82" i="1"/>
  <c r="J82" i="1"/>
  <c r="H82" i="1"/>
  <c r="G82" i="1"/>
  <c r="K81" i="1"/>
  <c r="J81" i="1"/>
  <c r="H81" i="1"/>
  <c r="G81" i="1"/>
  <c r="K80" i="1"/>
  <c r="J80" i="1"/>
  <c r="H80" i="1"/>
  <c r="G80" i="1"/>
  <c r="K79" i="1"/>
  <c r="J79" i="1"/>
  <c r="H79" i="1"/>
  <c r="G79" i="1"/>
  <c r="K78" i="1"/>
  <c r="J78" i="1"/>
  <c r="H78" i="1"/>
  <c r="G78" i="1"/>
  <c r="K77" i="1"/>
  <c r="J77" i="1"/>
  <c r="H77" i="1"/>
  <c r="G77" i="1"/>
  <c r="K76" i="1"/>
  <c r="J76" i="1"/>
  <c r="H76" i="1"/>
  <c r="G76" i="1"/>
  <c r="K75" i="1"/>
  <c r="J75" i="1"/>
  <c r="H75" i="1"/>
  <c r="G75" i="1"/>
  <c r="K74" i="1"/>
  <c r="J74" i="1"/>
  <c r="H74" i="1"/>
  <c r="G74" i="1"/>
  <c r="K73" i="1"/>
  <c r="J73" i="1"/>
  <c r="H73" i="1"/>
  <c r="G73" i="1"/>
  <c r="K72" i="1"/>
  <c r="J72" i="1"/>
  <c r="H72" i="1"/>
  <c r="G72" i="1"/>
  <c r="K71" i="1"/>
  <c r="J71" i="1"/>
  <c r="H71" i="1"/>
  <c r="G71" i="1"/>
  <c r="K70" i="1"/>
  <c r="J70" i="1"/>
  <c r="H70" i="1"/>
  <c r="G70" i="1"/>
  <c r="K69" i="1"/>
  <c r="J69" i="1"/>
  <c r="H69" i="1"/>
  <c r="G69" i="1"/>
  <c r="K68" i="1"/>
  <c r="J68" i="1"/>
  <c r="H68" i="1"/>
  <c r="G68" i="1"/>
  <c r="K67" i="1"/>
  <c r="J67" i="1"/>
  <c r="H67" i="1"/>
  <c r="G67" i="1"/>
  <c r="K66" i="1"/>
  <c r="J66" i="1"/>
  <c r="H66" i="1"/>
  <c r="G66" i="1"/>
  <c r="K65" i="1"/>
  <c r="J65" i="1"/>
  <c r="H65" i="1"/>
  <c r="G65" i="1"/>
  <c r="K64" i="1"/>
  <c r="J64" i="1"/>
  <c r="H64" i="1"/>
  <c r="G64" i="1"/>
  <c r="K63" i="1"/>
  <c r="J63" i="1"/>
  <c r="H63" i="1"/>
  <c r="G63" i="1"/>
  <c r="K62" i="1"/>
  <c r="J62" i="1"/>
  <c r="H62" i="1"/>
  <c r="G62" i="1"/>
  <c r="K61" i="1"/>
  <c r="J61" i="1"/>
  <c r="H61" i="1"/>
  <c r="G61" i="1"/>
  <c r="K60" i="1"/>
  <c r="J60" i="1"/>
  <c r="H60" i="1"/>
  <c r="G60" i="1"/>
  <c r="K59" i="1"/>
  <c r="J59" i="1"/>
  <c r="H59" i="1"/>
  <c r="G59" i="1"/>
  <c r="K58" i="1"/>
  <c r="J58" i="1"/>
  <c r="H58" i="1"/>
  <c r="G58" i="1"/>
  <c r="K57" i="1"/>
  <c r="J57" i="1"/>
  <c r="H57" i="1"/>
  <c r="G57" i="1"/>
  <c r="K56" i="1"/>
  <c r="J56" i="1"/>
  <c r="H56" i="1"/>
  <c r="G56" i="1"/>
  <c r="K55" i="1"/>
  <c r="J55" i="1"/>
  <c r="H55" i="1"/>
  <c r="G55" i="1"/>
  <c r="K54" i="1"/>
  <c r="J54" i="1"/>
  <c r="H54" i="1"/>
  <c r="G54" i="1"/>
  <c r="K53" i="1"/>
  <c r="J53" i="1"/>
  <c r="H53" i="1"/>
  <c r="G53" i="1"/>
  <c r="K52" i="1"/>
  <c r="J52" i="1"/>
  <c r="H52" i="1"/>
  <c r="G52" i="1"/>
  <c r="K51" i="1"/>
  <c r="J51" i="1"/>
  <c r="H51" i="1"/>
  <c r="G51" i="1"/>
  <c r="K50" i="1"/>
  <c r="J50" i="1"/>
  <c r="H50" i="1"/>
  <c r="G50" i="1"/>
  <c r="K49" i="1"/>
  <c r="J49" i="1"/>
  <c r="H49" i="1"/>
  <c r="G49" i="1"/>
  <c r="K48" i="1"/>
  <c r="J48" i="1"/>
  <c r="H48" i="1"/>
  <c r="G48" i="1"/>
  <c r="K47" i="1"/>
  <c r="J47" i="1"/>
  <c r="H47" i="1"/>
  <c r="G47" i="1"/>
  <c r="K46" i="1"/>
  <c r="J46" i="1"/>
  <c r="H46" i="1"/>
  <c r="G46" i="1"/>
  <c r="K45" i="1"/>
  <c r="J45" i="1"/>
  <c r="H45" i="1"/>
  <c r="G45" i="1"/>
  <c r="K44" i="1"/>
  <c r="J44" i="1"/>
  <c r="H44" i="1"/>
  <c r="G44" i="1"/>
  <c r="K43" i="1"/>
  <c r="J43" i="1"/>
  <c r="H43" i="1"/>
  <c r="G43" i="1"/>
  <c r="K42" i="1"/>
  <c r="J42" i="1"/>
  <c r="H42" i="1"/>
  <c r="G42" i="1"/>
  <c r="K41" i="1"/>
  <c r="J41" i="1"/>
  <c r="H41" i="1"/>
  <c r="G41" i="1"/>
  <c r="K40" i="1"/>
  <c r="J40" i="1"/>
  <c r="H40" i="1"/>
  <c r="G40" i="1"/>
  <c r="K39" i="1"/>
  <c r="J39" i="1"/>
  <c r="H39" i="1"/>
  <c r="G39" i="1"/>
  <c r="K38" i="1"/>
  <c r="J38" i="1"/>
  <c r="H38" i="1"/>
  <c r="G38" i="1"/>
  <c r="K37" i="1"/>
  <c r="J37" i="1"/>
  <c r="H37" i="1"/>
  <c r="G37" i="1"/>
  <c r="K36" i="1"/>
  <c r="J36" i="1"/>
  <c r="H36" i="1"/>
  <c r="G36" i="1"/>
  <c r="K35" i="1"/>
  <c r="J35" i="1"/>
  <c r="H35" i="1"/>
  <c r="G35" i="1"/>
  <c r="K34" i="1"/>
  <c r="J34" i="1"/>
  <c r="H34" i="1"/>
  <c r="G34" i="1"/>
  <c r="K33" i="1"/>
  <c r="J33" i="1"/>
  <c r="H33" i="1"/>
  <c r="G33" i="1"/>
  <c r="K32" i="1"/>
  <c r="J32" i="1"/>
  <c r="H32" i="1"/>
  <c r="G32" i="1"/>
  <c r="K31" i="1"/>
  <c r="J31" i="1"/>
  <c r="H31" i="1"/>
  <c r="G31" i="1"/>
  <c r="K30" i="1"/>
  <c r="J30" i="1"/>
  <c r="H30" i="1"/>
  <c r="G30" i="1"/>
  <c r="K29" i="1"/>
  <c r="J29" i="1"/>
  <c r="H29" i="1"/>
  <c r="G29" i="1"/>
  <c r="K28" i="1"/>
  <c r="J28" i="1"/>
  <c r="H28" i="1"/>
  <c r="G28" i="1"/>
  <c r="K27" i="1"/>
  <c r="J27" i="1"/>
  <c r="H27" i="1"/>
  <c r="G27" i="1"/>
  <c r="K26" i="1"/>
  <c r="J26" i="1"/>
  <c r="H26" i="1"/>
  <c r="G26" i="1"/>
  <c r="K25" i="1"/>
  <c r="J25" i="1"/>
  <c r="H25" i="1"/>
  <c r="G25" i="1"/>
  <c r="K24" i="1"/>
  <c r="J24" i="1"/>
  <c r="H24" i="1"/>
  <c r="G24" i="1"/>
  <c r="K23" i="1"/>
  <c r="J23" i="1"/>
  <c r="H23" i="1"/>
  <c r="G23" i="1"/>
  <c r="K22" i="1"/>
  <c r="J22" i="1"/>
  <c r="H22" i="1"/>
  <c r="G22" i="1"/>
  <c r="K21" i="1"/>
  <c r="J21" i="1"/>
  <c r="H21" i="1"/>
  <c r="G21" i="1"/>
  <c r="K20" i="1"/>
  <c r="J20" i="1"/>
  <c r="H20" i="1"/>
  <c r="G20" i="1"/>
  <c r="K19" i="1"/>
  <c r="J19" i="1"/>
  <c r="H19" i="1"/>
  <c r="G19" i="1"/>
  <c r="K18" i="1"/>
  <c r="J18" i="1"/>
  <c r="H18" i="1"/>
  <c r="G18" i="1"/>
  <c r="K17" i="1"/>
  <c r="J17" i="1"/>
  <c r="H17" i="1"/>
  <c r="G17" i="1"/>
  <c r="K16" i="1"/>
  <c r="J16" i="1"/>
  <c r="H16" i="1"/>
  <c r="G16" i="1"/>
  <c r="K15" i="1"/>
  <c r="J15" i="1"/>
  <c r="H15" i="1"/>
  <c r="G15" i="1"/>
  <c r="K14" i="1"/>
  <c r="J14" i="1"/>
  <c r="H14" i="1"/>
  <c r="G14" i="1"/>
  <c r="K13" i="1"/>
  <c r="J13" i="1"/>
  <c r="H13" i="1"/>
  <c r="G13" i="1"/>
  <c r="K12" i="1"/>
  <c r="J12" i="1"/>
  <c r="H12" i="1"/>
  <c r="G12" i="1"/>
  <c r="K11" i="1"/>
  <c r="J11" i="1"/>
  <c r="H11" i="1"/>
  <c r="G11" i="1"/>
  <c r="K10" i="1"/>
  <c r="J10" i="1"/>
  <c r="H10" i="1"/>
  <c r="G10" i="1"/>
  <c r="K9" i="1"/>
  <c r="J9" i="1"/>
  <c r="H9" i="1"/>
  <c r="G9" i="1"/>
  <c r="K8" i="1"/>
  <c r="J8" i="1"/>
  <c r="H8" i="1"/>
  <c r="G8" i="1"/>
  <c r="K7" i="1"/>
  <c r="J7" i="1"/>
  <c r="H7" i="1"/>
  <c r="G7" i="1"/>
  <c r="K6" i="1"/>
  <c r="J6" i="1"/>
  <c r="H6" i="1"/>
  <c r="G6" i="1"/>
  <c r="K5" i="1"/>
  <c r="J5" i="1"/>
  <c r="H5" i="1"/>
  <c r="G5" i="1"/>
</calcChain>
</file>

<file path=xl/sharedStrings.xml><?xml version="1.0" encoding="utf-8"?>
<sst xmlns="http://schemas.openxmlformats.org/spreadsheetml/2006/main" count="52" uniqueCount="52">
  <si>
    <t>EMPLOYEE VACATION / LEAVE TRACKER</t>
  </si>
  <si>
    <t>Enter one leave request per row. Working days exclude Saturdays and dates entered in Holiday List.</t>
  </si>
  <si>
    <t>Employee ID</t>
  </si>
  <si>
    <t>Employee Name</t>
  </si>
  <si>
    <t>Department</t>
  </si>
  <si>
    <t>Leave Type</t>
  </si>
  <si>
    <t>Start Date</t>
  </si>
  <si>
    <t>End Date</t>
  </si>
  <si>
    <t>Calendar Days</t>
  </si>
  <si>
    <t>Working Leave Days</t>
  </si>
  <si>
    <t>Annual Entitlement</t>
  </si>
  <si>
    <t>Leave Taken (Approved)</t>
  </si>
  <si>
    <t>Remaining Balance</t>
  </si>
  <si>
    <t>Request Status</t>
  </si>
  <si>
    <t>Approved By</t>
  </si>
  <si>
    <t>Remarks</t>
  </si>
  <si>
    <t>PUBLIC HOLIDAY LIST</t>
  </si>
  <si>
    <t>Holiday Date</t>
  </si>
  <si>
    <t>Holiday Name</t>
  </si>
  <si>
    <t>Notes</t>
  </si>
  <si>
    <t>LEAVE SUMMARY DASHBOARD</t>
  </si>
  <si>
    <t>Total Requests</t>
  </si>
  <si>
    <t>Pending Requests</t>
  </si>
  <si>
    <t>Approved Requests</t>
  </si>
  <si>
    <t>Rejected Requests</t>
  </si>
  <si>
    <t>Approved Working Leave Days</t>
  </si>
  <si>
    <t>Note</t>
  </si>
  <si>
    <t>Summary updates automatically as you enter leave requests.</t>
  </si>
  <si>
    <t>HOW TO USE THIS WORKBOOK</t>
  </si>
  <si>
    <t>1</t>
  </si>
  <si>
    <t>Enter each leave request on a new row in Leave Tracker.</t>
  </si>
  <si>
    <t>2</t>
  </si>
  <si>
    <t>Enter Employee ID, employee details, leave type, start date and end date.</t>
  </si>
  <si>
    <t>3</t>
  </si>
  <si>
    <t>Enter the employee's annual entitlement in column I. Use the same entitlement on that employee's rows.</t>
  </si>
  <si>
    <t>4</t>
  </si>
  <si>
    <t>Choose Pending, Approved or Rejected in Request Status.</t>
  </si>
  <si>
    <t>5</t>
  </si>
  <si>
    <t>Only Approved requests are included in Leave Taken and Remaining Balance.</t>
  </si>
  <si>
    <t>6</t>
  </si>
  <si>
    <t>Add public holiday dates in Holiday List. These dates are excluded from Working Leave Days.</t>
  </si>
  <si>
    <t>7</t>
  </si>
  <si>
    <t>This workbook is set to exclude Saturdays only (common Nepal work-week setting).</t>
  </si>
  <si>
    <t>8</t>
  </si>
  <si>
    <t>To change weekend rules, edit the weekend argument 17 in the formula in column H. See Excel NETWORKDAYS.INTL weekend codes.</t>
  </si>
  <si>
    <t>9</t>
  </si>
  <si>
    <t>Calendar Days counts every date including weekends and holidays; Working Leave Days excludes Saturdays and listed holidays.</t>
  </si>
  <si>
    <t>10</t>
  </si>
  <si>
    <t>Dashboard totals update automatically. The tracker has space for 200 requests.</t>
  </si>
  <si>
    <t>deepak</t>
  </si>
  <si>
    <t>computer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</si>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</sst>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7"/>
      <color rgb="FFFFFFFF"/>
      <name val="Calibri"/>
    </font>
    <font>
      <b/>
      <sz val="14"/>
      <color rgb="FF17365D"/>
      <name val="Calibri"/>
    </font>
    <font>
      <b/>
      <sz val="11"/>
      <color rgb="FF1F4E78"/>
      <name val="Calibri"/>
    </font>
    <font>
      <b/>
      <sz val="17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0" xfId="0" applyFont="1" applyFill="1"/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8" fillId="0" borderId="0" xfId="0" applyFont="1" applyAlignment="1">
      <alignment wrapText="1"/>
    </xf>
    <xf numFmtId="0" fontId="7" fillId="0" borderId="0" xfId="0" applyFont="1"/>
    <xf numFmtId="0" fontId="1" fillId="6" borderId="0" xfId="0" applyFont="1" applyFill="1" applyAlignment="1">
      <alignment horizontal="center"/>
    </xf>
    <xf numFmtId="0" fontId="0" fillId="6" borderId="0" xfId="0" applyFill="1"/>
    <xf numFmtId="0" fontId="2" fillId="7" borderId="0" xfId="0" applyFont="1" applyFill="1"/>
    <xf numFmtId="0" fontId="2" fillId="8" borderId="2" xfId="0" applyFont="1" applyFill="1" applyBorder="1" applyAlignment="1">
      <alignment vertical="center"/>
    </xf>
    <xf numFmtId="0" fontId="4" fillId="9" borderId="2" xfId="0" applyFont="1" applyFill="1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3" fillId="10" borderId="0" xfId="0" applyFont="1" applyFill="1" applyAlignment="1">
      <alignment horizontal="center"/>
    </xf>
    <xf numFmtId="0" fontId="0" fillId="10" borderId="0" xfId="0" applyFill="1"/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8" xfId="0" applyFont="1" applyBorder="1"/>
    <xf numFmtId="0" fontId="0" fillId="0" borderId="9" xfId="0" applyBorder="1" applyAlignment="1">
      <alignment vertical="top" wrapText="1"/>
    </xf>
    <xf numFmtId="0" fontId="5" fillId="0" borderId="10" xfId="0" applyFont="1" applyBorder="1"/>
    <xf numFmtId="0" fontId="0" fillId="0" borderId="11" xfId="0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4"/>
  <sheetViews>
    <sheetView showGridLines="0" tabSelected="1" workbookViewId="0">
      <pane ySplit="4" topLeftCell="A5" activePane="bottomLeft" state="frozen"/>
      <selection pane="bottomLeft" activeCell="E14" sqref="E14"/>
    </sheetView>
  </sheetViews>
  <sheetFormatPr defaultRowHeight="14.4" x14ac:dyDescent="0.3"/>
  <cols>
    <col min="1" max="1" width="14" customWidth="1"/>
    <col min="2" max="2" width="22" customWidth="1"/>
    <col min="3" max="3" width="18" customWidth="1"/>
    <col min="4" max="4" width="17" customWidth="1"/>
    <col min="5" max="6" width="15" customWidth="1"/>
    <col min="7" max="7" width="14" customWidth="1"/>
    <col min="8" max="9" width="18" customWidth="1"/>
    <col min="10" max="10" width="20" customWidth="1"/>
    <col min="11" max="11" width="18" customWidth="1"/>
    <col min="12" max="12" width="17" customWidth="1"/>
    <col min="13" max="13" width="20" customWidth="1"/>
    <col min="14" max="14" width="30" customWidth="1"/>
  </cols>
  <sheetData>
    <row r="1" spans="1:14" ht="22.2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ht="34.049999999999997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x14ac:dyDescent="0.3">
      <c r="A5" s="2">
        <v>101</v>
      </c>
      <c r="B5" s="2" t="s">
        <v>49</v>
      </c>
      <c r="C5" s="2" t="s">
        <v>50</v>
      </c>
      <c r="D5" s="2" t="s">
        <v>51</v>
      </c>
      <c r="E5" s="3">
        <v>46297</v>
      </c>
      <c r="F5" s="3">
        <v>46299</v>
      </c>
      <c r="G5" s="4">
        <f t="shared" ref="G5:G36" si="0">IF(OR(E5="",F5=""),"",MAX(0,F5-E5+1))</f>
        <v>3</v>
      </c>
      <c r="H5" s="4">
        <f>IF(OR(E5="",F5="",F5&lt;E5),"",NETWORKDAYS.INTL(E5,F5,17,'Holiday List'!$A$4:$A$103))</f>
        <v>2</v>
      </c>
      <c r="I5" s="5"/>
      <c r="J5" s="4">
        <f t="shared" ref="J5:J36" si="1">IF(A5="","",SUMIFS($H$5:$H$204,$A$5:$A$204,A5,$L$5:$L$204,"Approved"))</f>
        <v>0</v>
      </c>
      <c r="K5" s="4" t="str">
        <f t="shared" ref="K5:K36" si="2">IF(OR(A5="",I5=""),"",I5-J5)</f>
        <v/>
      </c>
      <c r="L5" s="2"/>
      <c r="M5" s="2"/>
      <c r="N5" s="2"/>
    </row>
    <row r="6" spans="1:14" x14ac:dyDescent="0.3">
      <c r="A6" s="2"/>
      <c r="B6" s="2"/>
      <c r="C6" s="2"/>
      <c r="D6" s="2"/>
      <c r="E6" s="3"/>
      <c r="F6" s="3"/>
      <c r="G6" s="4" t="str">
        <f t="shared" si="0"/>
        <v/>
      </c>
      <c r="H6" s="4" t="str">
        <f>IF(OR(E6="",F6="",F6&lt;E6),"",NETWORKDAYS.INTL(E6,F6,17,'Holiday List'!$A$4:$A$103))</f>
        <v/>
      </c>
      <c r="I6" s="5"/>
      <c r="J6" s="4" t="str">
        <f t="shared" si="1"/>
        <v/>
      </c>
      <c r="K6" s="4" t="str">
        <f t="shared" si="2"/>
        <v/>
      </c>
      <c r="L6" s="2"/>
      <c r="M6" s="2"/>
      <c r="N6" s="2"/>
    </row>
    <row r="7" spans="1:14" x14ac:dyDescent="0.3">
      <c r="A7" s="2"/>
      <c r="B7" s="2"/>
      <c r="C7" s="2"/>
      <c r="D7" s="2"/>
      <c r="E7" s="3"/>
      <c r="F7" s="3"/>
      <c r="G7" s="4" t="str">
        <f t="shared" si="0"/>
        <v/>
      </c>
      <c r="H7" s="4" t="str">
        <f>IF(OR(E7="",F7="",F7&lt;E7),"",NETWORKDAYS.INTL(E7,F7,17,'Holiday List'!$A$4:$A$103))</f>
        <v/>
      </c>
      <c r="I7" s="5"/>
      <c r="J7" s="4" t="str">
        <f t="shared" si="1"/>
        <v/>
      </c>
      <c r="K7" s="4" t="str">
        <f t="shared" si="2"/>
        <v/>
      </c>
      <c r="L7" s="2"/>
      <c r="M7" s="2"/>
      <c r="N7" s="2"/>
    </row>
    <row r="8" spans="1:14" x14ac:dyDescent="0.3">
      <c r="A8" s="2"/>
      <c r="B8" s="2"/>
      <c r="C8" s="2"/>
      <c r="D8" s="2"/>
      <c r="E8" s="3"/>
      <c r="F8" s="3"/>
      <c r="G8" s="4" t="str">
        <f t="shared" si="0"/>
        <v/>
      </c>
      <c r="H8" s="4" t="str">
        <f>IF(OR(E8="",F8="",F8&lt;E8),"",NETWORKDAYS.INTL(E8,F8,17,'Holiday List'!$A$4:$A$103))</f>
        <v/>
      </c>
      <c r="I8" s="5"/>
      <c r="J8" s="4" t="str">
        <f t="shared" si="1"/>
        <v/>
      </c>
      <c r="K8" s="4" t="str">
        <f t="shared" si="2"/>
        <v/>
      </c>
      <c r="L8" s="2"/>
      <c r="M8" s="2"/>
      <c r="N8" s="2"/>
    </row>
    <row r="9" spans="1:14" x14ac:dyDescent="0.3">
      <c r="A9" s="2"/>
      <c r="B9" s="2"/>
      <c r="C9" s="2"/>
      <c r="D9" s="2"/>
      <c r="E9" s="3"/>
      <c r="F9" s="3"/>
      <c r="G9" s="4" t="str">
        <f t="shared" si="0"/>
        <v/>
      </c>
      <c r="H9" s="4" t="str">
        <f>IF(OR(E9="",F9="",F9&lt;E9),"",NETWORKDAYS.INTL(E9,F9,17,'Holiday List'!$A$4:$A$103))</f>
        <v/>
      </c>
      <c r="I9" s="5"/>
      <c r="J9" s="4" t="str">
        <f t="shared" si="1"/>
        <v/>
      </c>
      <c r="K9" s="4" t="str">
        <f t="shared" si="2"/>
        <v/>
      </c>
      <c r="L9" s="2"/>
      <c r="M9" s="2"/>
      <c r="N9" s="2"/>
    </row>
    <row r="10" spans="1:14" x14ac:dyDescent="0.3">
      <c r="A10" s="2"/>
      <c r="B10" s="2"/>
      <c r="C10" s="2"/>
      <c r="D10" s="2"/>
      <c r="E10" s="3"/>
      <c r="F10" s="3"/>
      <c r="G10" s="4" t="str">
        <f t="shared" si="0"/>
        <v/>
      </c>
      <c r="H10" s="4" t="str">
        <f>IF(OR(E10="",F10="",F10&lt;E10),"",NETWORKDAYS.INTL(E10,F10,17,'Holiday List'!$A$4:$A$103))</f>
        <v/>
      </c>
      <c r="I10" s="5"/>
      <c r="J10" s="4" t="str">
        <f t="shared" si="1"/>
        <v/>
      </c>
      <c r="K10" s="4" t="str">
        <f t="shared" si="2"/>
        <v/>
      </c>
      <c r="L10" s="2"/>
      <c r="M10" s="2"/>
      <c r="N10" s="2"/>
    </row>
    <row r="11" spans="1:14" x14ac:dyDescent="0.3">
      <c r="A11" s="2"/>
      <c r="B11" s="2"/>
      <c r="C11" s="2"/>
      <c r="D11" s="2"/>
      <c r="E11" s="3"/>
      <c r="F11" s="3"/>
      <c r="G11" s="4" t="str">
        <f t="shared" si="0"/>
        <v/>
      </c>
      <c r="H11" s="4" t="str">
        <f>IF(OR(E11="",F11="",F11&lt;E11),"",NETWORKDAYS.INTL(E11,F11,17,'Holiday List'!$A$4:$A$103))</f>
        <v/>
      </c>
      <c r="I11" s="5"/>
      <c r="J11" s="4" t="str">
        <f t="shared" si="1"/>
        <v/>
      </c>
      <c r="K11" s="4" t="str">
        <f t="shared" si="2"/>
        <v/>
      </c>
      <c r="L11" s="2"/>
      <c r="M11" s="2"/>
      <c r="N11" s="2"/>
    </row>
    <row r="12" spans="1:14" x14ac:dyDescent="0.3">
      <c r="A12" s="2"/>
      <c r="B12" s="2"/>
      <c r="C12" s="2"/>
      <c r="D12" s="2"/>
      <c r="E12" s="3"/>
      <c r="F12" s="3"/>
      <c r="G12" s="4" t="str">
        <f t="shared" si="0"/>
        <v/>
      </c>
      <c r="H12" s="4" t="str">
        <f>IF(OR(E12="",F12="",F12&lt;E12),"",NETWORKDAYS.INTL(E12,F12,17,'Holiday List'!$A$4:$A$103))</f>
        <v/>
      </c>
      <c r="I12" s="5"/>
      <c r="J12" s="4" t="str">
        <f t="shared" si="1"/>
        <v/>
      </c>
      <c r="K12" s="4" t="str">
        <f t="shared" si="2"/>
        <v/>
      </c>
      <c r="L12" s="2"/>
      <c r="M12" s="2"/>
      <c r="N12" s="2"/>
    </row>
    <row r="13" spans="1:14" x14ac:dyDescent="0.3">
      <c r="A13" s="2"/>
      <c r="B13" s="2"/>
      <c r="C13" s="2"/>
      <c r="D13" s="2"/>
      <c r="E13" s="3"/>
      <c r="F13" s="3"/>
      <c r="G13" s="4" t="str">
        <f t="shared" si="0"/>
        <v/>
      </c>
      <c r="H13" s="4" t="str">
        <f>IF(OR(E13="",F13="",F13&lt;E13),"",NETWORKDAYS.INTL(E13,F13,17,'Holiday List'!$A$4:$A$103))</f>
        <v/>
      </c>
      <c r="I13" s="5"/>
      <c r="J13" s="4" t="str">
        <f t="shared" si="1"/>
        <v/>
      </c>
      <c r="K13" s="4" t="str">
        <f t="shared" si="2"/>
        <v/>
      </c>
      <c r="L13" s="2"/>
      <c r="M13" s="2"/>
      <c r="N13" s="2"/>
    </row>
    <row r="14" spans="1:14" x14ac:dyDescent="0.3">
      <c r="A14" s="2"/>
      <c r="B14" s="2"/>
      <c r="C14" s="2"/>
      <c r="D14" s="2"/>
      <c r="E14" s="3"/>
      <c r="F14" s="3"/>
      <c r="G14" s="4" t="str">
        <f t="shared" si="0"/>
        <v/>
      </c>
      <c r="H14" s="4" t="str">
        <f>IF(OR(E14="",F14="",F14&lt;E14),"",NETWORKDAYS.INTL(E14,F14,17,'Holiday List'!$A$4:$A$103))</f>
        <v/>
      </c>
      <c r="I14" s="5"/>
      <c r="J14" s="4" t="str">
        <f t="shared" si="1"/>
        <v/>
      </c>
      <c r="K14" s="4" t="str">
        <f t="shared" si="2"/>
        <v/>
      </c>
      <c r="L14" s="2"/>
      <c r="M14" s="2"/>
      <c r="N14" s="2"/>
    </row>
    <row r="15" spans="1:14" x14ac:dyDescent="0.3">
      <c r="A15" s="2"/>
      <c r="B15" s="2"/>
      <c r="C15" s="2"/>
      <c r="D15" s="2"/>
      <c r="E15" s="3"/>
      <c r="F15" s="3"/>
      <c r="G15" s="4" t="str">
        <f t="shared" si="0"/>
        <v/>
      </c>
      <c r="H15" s="4" t="str">
        <f>IF(OR(E15="",F15="",F15&lt;E15),"",NETWORKDAYS.INTL(E15,F15,17,'Holiday List'!$A$4:$A$103))</f>
        <v/>
      </c>
      <c r="I15" s="5"/>
      <c r="J15" s="4" t="str">
        <f t="shared" si="1"/>
        <v/>
      </c>
      <c r="K15" s="4" t="str">
        <f t="shared" si="2"/>
        <v/>
      </c>
      <c r="L15" s="2"/>
      <c r="M15" s="2"/>
      <c r="N15" s="2"/>
    </row>
    <row r="16" spans="1:14" x14ac:dyDescent="0.3">
      <c r="A16" s="2"/>
      <c r="B16" s="2"/>
      <c r="C16" s="2"/>
      <c r="D16" s="2"/>
      <c r="E16" s="3"/>
      <c r="F16" s="3"/>
      <c r="G16" s="4" t="str">
        <f t="shared" si="0"/>
        <v/>
      </c>
      <c r="H16" s="4" t="str">
        <f>IF(OR(E16="",F16="",F16&lt;E16),"",NETWORKDAYS.INTL(E16,F16,17,'Holiday List'!$A$4:$A$103))</f>
        <v/>
      </c>
      <c r="I16" s="5"/>
      <c r="J16" s="4" t="str">
        <f t="shared" si="1"/>
        <v/>
      </c>
      <c r="K16" s="4" t="str">
        <f t="shared" si="2"/>
        <v/>
      </c>
      <c r="L16" s="2"/>
      <c r="M16" s="2"/>
      <c r="N16" s="2"/>
    </row>
    <row r="17" spans="1:14" x14ac:dyDescent="0.3">
      <c r="A17" s="2"/>
      <c r="B17" s="2"/>
      <c r="C17" s="2"/>
      <c r="D17" s="2"/>
      <c r="E17" s="3"/>
      <c r="F17" s="3"/>
      <c r="G17" s="4" t="str">
        <f t="shared" si="0"/>
        <v/>
      </c>
      <c r="H17" s="4" t="str">
        <f>IF(OR(E17="",F17="",F17&lt;E17),"",NETWORKDAYS.INTL(E17,F17,17,'Holiday List'!$A$4:$A$103))</f>
        <v/>
      </c>
      <c r="I17" s="5"/>
      <c r="J17" s="4" t="str">
        <f t="shared" si="1"/>
        <v/>
      </c>
      <c r="K17" s="4" t="str">
        <f t="shared" si="2"/>
        <v/>
      </c>
      <c r="L17" s="2"/>
      <c r="M17" s="2"/>
      <c r="N17" s="2"/>
    </row>
    <row r="18" spans="1:14" x14ac:dyDescent="0.3">
      <c r="A18" s="2"/>
      <c r="B18" s="2"/>
      <c r="C18" s="2"/>
      <c r="D18" s="2"/>
      <c r="E18" s="3"/>
      <c r="F18" s="3"/>
      <c r="G18" s="4" t="str">
        <f t="shared" si="0"/>
        <v/>
      </c>
      <c r="H18" s="4" t="str">
        <f>IF(OR(E18="",F18="",F18&lt;E18),"",NETWORKDAYS.INTL(E18,F18,17,'Holiday List'!$A$4:$A$103))</f>
        <v/>
      </c>
      <c r="I18" s="5"/>
      <c r="J18" s="4" t="str">
        <f t="shared" si="1"/>
        <v/>
      </c>
      <c r="K18" s="4" t="str">
        <f t="shared" si="2"/>
        <v/>
      </c>
      <c r="L18" s="2"/>
      <c r="M18" s="2"/>
      <c r="N18" s="2"/>
    </row>
    <row r="19" spans="1:14" x14ac:dyDescent="0.3">
      <c r="A19" s="2"/>
      <c r="B19" s="2"/>
      <c r="C19" s="2"/>
      <c r="D19" s="2"/>
      <c r="E19" s="3"/>
      <c r="F19" s="3"/>
      <c r="G19" s="4" t="str">
        <f t="shared" si="0"/>
        <v/>
      </c>
      <c r="H19" s="4" t="str">
        <f>IF(OR(E19="",F19="",F19&lt;E19),"",NETWORKDAYS.INTL(E19,F19,17,'Holiday List'!$A$4:$A$103))</f>
        <v/>
      </c>
      <c r="I19" s="5"/>
      <c r="J19" s="4" t="str">
        <f t="shared" si="1"/>
        <v/>
      </c>
      <c r="K19" s="4" t="str">
        <f t="shared" si="2"/>
        <v/>
      </c>
      <c r="L19" s="2"/>
      <c r="M19" s="2"/>
      <c r="N19" s="2"/>
    </row>
    <row r="20" spans="1:14" x14ac:dyDescent="0.3">
      <c r="A20" s="2"/>
      <c r="B20" s="2"/>
      <c r="C20" s="2"/>
      <c r="D20" s="2"/>
      <c r="E20" s="3"/>
      <c r="F20" s="3"/>
      <c r="G20" s="4" t="str">
        <f t="shared" si="0"/>
        <v/>
      </c>
      <c r="H20" s="4" t="str">
        <f>IF(OR(E20="",F20="",F20&lt;E20),"",NETWORKDAYS.INTL(E20,F20,17,'Holiday List'!$A$4:$A$103))</f>
        <v/>
      </c>
      <c r="I20" s="5"/>
      <c r="J20" s="4" t="str">
        <f t="shared" si="1"/>
        <v/>
      </c>
      <c r="K20" s="4" t="str">
        <f t="shared" si="2"/>
        <v/>
      </c>
      <c r="L20" s="2"/>
      <c r="M20" s="2"/>
      <c r="N20" s="2"/>
    </row>
    <row r="21" spans="1:14" x14ac:dyDescent="0.3">
      <c r="A21" s="2"/>
      <c r="B21" s="2"/>
      <c r="C21" s="2"/>
      <c r="D21" s="2"/>
      <c r="E21" s="3"/>
      <c r="F21" s="3"/>
      <c r="G21" s="4" t="str">
        <f t="shared" si="0"/>
        <v/>
      </c>
      <c r="H21" s="4" t="str">
        <f>IF(OR(E21="",F21="",F21&lt;E21),"",NETWORKDAYS.INTL(E21,F21,17,'Holiday List'!$A$4:$A$103))</f>
        <v/>
      </c>
      <c r="I21" s="5"/>
      <c r="J21" s="4" t="str">
        <f t="shared" si="1"/>
        <v/>
      </c>
      <c r="K21" s="4" t="str">
        <f t="shared" si="2"/>
        <v/>
      </c>
      <c r="L21" s="2"/>
      <c r="M21" s="2"/>
      <c r="N21" s="2"/>
    </row>
    <row r="22" spans="1:14" x14ac:dyDescent="0.3">
      <c r="A22" s="2"/>
      <c r="B22" s="2"/>
      <c r="C22" s="2"/>
      <c r="D22" s="2"/>
      <c r="E22" s="3"/>
      <c r="F22" s="3"/>
      <c r="G22" s="4" t="str">
        <f t="shared" si="0"/>
        <v/>
      </c>
      <c r="H22" s="4" t="str">
        <f>IF(OR(E22="",F22="",F22&lt;E22),"",NETWORKDAYS.INTL(E22,F22,17,'Holiday List'!$A$4:$A$103))</f>
        <v/>
      </c>
      <c r="I22" s="5"/>
      <c r="J22" s="4" t="str">
        <f t="shared" si="1"/>
        <v/>
      </c>
      <c r="K22" s="4" t="str">
        <f t="shared" si="2"/>
        <v/>
      </c>
      <c r="L22" s="2"/>
      <c r="M22" s="2"/>
      <c r="N22" s="2"/>
    </row>
    <row r="23" spans="1:14" x14ac:dyDescent="0.3">
      <c r="A23" s="2"/>
      <c r="B23" s="2"/>
      <c r="C23" s="2"/>
      <c r="D23" s="2"/>
      <c r="E23" s="3"/>
      <c r="F23" s="3"/>
      <c r="G23" s="4" t="str">
        <f t="shared" si="0"/>
        <v/>
      </c>
      <c r="H23" s="4" t="str">
        <f>IF(OR(E23="",F23="",F23&lt;E23),"",NETWORKDAYS.INTL(E23,F23,17,'Holiday List'!$A$4:$A$103))</f>
        <v/>
      </c>
      <c r="I23" s="5"/>
      <c r="J23" s="4" t="str">
        <f t="shared" si="1"/>
        <v/>
      </c>
      <c r="K23" s="4" t="str">
        <f t="shared" si="2"/>
        <v/>
      </c>
      <c r="L23" s="2"/>
      <c r="M23" s="2"/>
      <c r="N23" s="2"/>
    </row>
    <row r="24" spans="1:14" x14ac:dyDescent="0.3">
      <c r="A24" s="2"/>
      <c r="B24" s="2"/>
      <c r="C24" s="2"/>
      <c r="D24" s="2"/>
      <c r="E24" s="3"/>
      <c r="F24" s="3"/>
      <c r="G24" s="4" t="str">
        <f t="shared" si="0"/>
        <v/>
      </c>
      <c r="H24" s="4" t="str">
        <f>IF(OR(E24="",F24="",F24&lt;E24),"",NETWORKDAYS.INTL(E24,F24,17,'Holiday List'!$A$4:$A$103))</f>
        <v/>
      </c>
      <c r="I24" s="5"/>
      <c r="J24" s="4" t="str">
        <f t="shared" si="1"/>
        <v/>
      </c>
      <c r="K24" s="4" t="str">
        <f t="shared" si="2"/>
        <v/>
      </c>
      <c r="L24" s="2"/>
      <c r="M24" s="2"/>
      <c r="N24" s="2"/>
    </row>
    <row r="25" spans="1:14" x14ac:dyDescent="0.3">
      <c r="A25" s="2"/>
      <c r="B25" s="2"/>
      <c r="C25" s="2"/>
      <c r="D25" s="2"/>
      <c r="E25" s="3"/>
      <c r="F25" s="3"/>
      <c r="G25" s="4" t="str">
        <f t="shared" si="0"/>
        <v/>
      </c>
      <c r="H25" s="4" t="str">
        <f>IF(OR(E25="",F25="",F25&lt;E25),"",NETWORKDAYS.INTL(E25,F25,17,'Holiday List'!$A$4:$A$103))</f>
        <v/>
      </c>
      <c r="I25" s="5"/>
      <c r="J25" s="4" t="str">
        <f t="shared" si="1"/>
        <v/>
      </c>
      <c r="K25" s="4" t="str">
        <f t="shared" si="2"/>
        <v/>
      </c>
      <c r="L25" s="2"/>
      <c r="M25" s="2"/>
      <c r="N25" s="2"/>
    </row>
    <row r="26" spans="1:14" x14ac:dyDescent="0.3">
      <c r="A26" s="2"/>
      <c r="B26" s="2"/>
      <c r="C26" s="2"/>
      <c r="D26" s="2"/>
      <c r="E26" s="3"/>
      <c r="F26" s="3"/>
      <c r="G26" s="4" t="str">
        <f t="shared" si="0"/>
        <v/>
      </c>
      <c r="H26" s="4" t="str">
        <f>IF(OR(E26="",F26="",F26&lt;E26),"",NETWORKDAYS.INTL(E26,F26,17,'Holiday List'!$A$4:$A$103))</f>
        <v/>
      </c>
      <c r="I26" s="5"/>
      <c r="J26" s="4" t="str">
        <f t="shared" si="1"/>
        <v/>
      </c>
      <c r="K26" s="4" t="str">
        <f t="shared" si="2"/>
        <v/>
      </c>
      <c r="L26" s="2"/>
      <c r="M26" s="2"/>
      <c r="N26" s="2"/>
    </row>
    <row r="27" spans="1:14" x14ac:dyDescent="0.3">
      <c r="A27" s="2"/>
      <c r="B27" s="2"/>
      <c r="C27" s="2"/>
      <c r="D27" s="2"/>
      <c r="E27" s="3"/>
      <c r="F27" s="3"/>
      <c r="G27" s="4" t="str">
        <f t="shared" si="0"/>
        <v/>
      </c>
      <c r="H27" s="4" t="str">
        <f>IF(OR(E27="",F27="",F27&lt;E27),"",NETWORKDAYS.INTL(E27,F27,17,'Holiday List'!$A$4:$A$103))</f>
        <v/>
      </c>
      <c r="I27" s="5"/>
      <c r="J27" s="4" t="str">
        <f t="shared" si="1"/>
        <v/>
      </c>
      <c r="K27" s="4" t="str">
        <f t="shared" si="2"/>
        <v/>
      </c>
      <c r="L27" s="2"/>
      <c r="M27" s="2"/>
      <c r="N27" s="2"/>
    </row>
    <row r="28" spans="1:14" x14ac:dyDescent="0.3">
      <c r="A28" s="2"/>
      <c r="B28" s="2"/>
      <c r="C28" s="2"/>
      <c r="D28" s="2"/>
      <c r="E28" s="3"/>
      <c r="F28" s="3"/>
      <c r="G28" s="4" t="str">
        <f t="shared" si="0"/>
        <v/>
      </c>
      <c r="H28" s="4" t="str">
        <f>IF(OR(E28="",F28="",F28&lt;E28),"",NETWORKDAYS.INTL(E28,F28,17,'Holiday List'!$A$4:$A$103))</f>
        <v/>
      </c>
      <c r="I28" s="5"/>
      <c r="J28" s="4" t="str">
        <f t="shared" si="1"/>
        <v/>
      </c>
      <c r="K28" s="4" t="str">
        <f t="shared" si="2"/>
        <v/>
      </c>
      <c r="L28" s="2"/>
      <c r="M28" s="2"/>
      <c r="N28" s="2"/>
    </row>
    <row r="29" spans="1:14" x14ac:dyDescent="0.3">
      <c r="A29" s="2"/>
      <c r="B29" s="2"/>
      <c r="C29" s="2"/>
      <c r="D29" s="2"/>
      <c r="E29" s="3"/>
      <c r="F29" s="3"/>
      <c r="G29" s="4" t="str">
        <f t="shared" si="0"/>
        <v/>
      </c>
      <c r="H29" s="4" t="str">
        <f>IF(OR(E29="",F29="",F29&lt;E29),"",NETWORKDAYS.INTL(E29,F29,17,'Holiday List'!$A$4:$A$103))</f>
        <v/>
      </c>
      <c r="I29" s="5"/>
      <c r="J29" s="4" t="str">
        <f t="shared" si="1"/>
        <v/>
      </c>
      <c r="K29" s="4" t="str">
        <f t="shared" si="2"/>
        <v/>
      </c>
      <c r="L29" s="2"/>
      <c r="M29" s="2"/>
      <c r="N29" s="2"/>
    </row>
    <row r="30" spans="1:14" x14ac:dyDescent="0.3">
      <c r="A30" s="2"/>
      <c r="B30" s="2"/>
      <c r="C30" s="2"/>
      <c r="D30" s="2"/>
      <c r="E30" s="3"/>
      <c r="F30" s="3"/>
      <c r="G30" s="4" t="str">
        <f t="shared" si="0"/>
        <v/>
      </c>
      <c r="H30" s="4" t="str">
        <f>IF(OR(E30="",F30="",F30&lt;E30),"",NETWORKDAYS.INTL(E30,F30,17,'Holiday List'!$A$4:$A$103))</f>
        <v/>
      </c>
      <c r="I30" s="5"/>
      <c r="J30" s="4" t="str">
        <f t="shared" si="1"/>
        <v/>
      </c>
      <c r="K30" s="4" t="str">
        <f t="shared" si="2"/>
        <v/>
      </c>
      <c r="L30" s="2"/>
      <c r="M30" s="2"/>
      <c r="N30" s="2"/>
    </row>
    <row r="31" spans="1:14" x14ac:dyDescent="0.3">
      <c r="A31" s="2"/>
      <c r="B31" s="2"/>
      <c r="C31" s="2"/>
      <c r="D31" s="2"/>
      <c r="E31" s="3"/>
      <c r="F31" s="3"/>
      <c r="G31" s="4" t="str">
        <f t="shared" si="0"/>
        <v/>
      </c>
      <c r="H31" s="4" t="str">
        <f>IF(OR(E31="",F31="",F31&lt;E31),"",NETWORKDAYS.INTL(E31,F31,17,'Holiday List'!$A$4:$A$103))</f>
        <v/>
      </c>
      <c r="I31" s="5"/>
      <c r="J31" s="4" t="str">
        <f t="shared" si="1"/>
        <v/>
      </c>
      <c r="K31" s="4" t="str">
        <f t="shared" si="2"/>
        <v/>
      </c>
      <c r="L31" s="2"/>
      <c r="M31" s="2"/>
      <c r="N31" s="2"/>
    </row>
    <row r="32" spans="1:14" x14ac:dyDescent="0.3">
      <c r="A32" s="2"/>
      <c r="B32" s="2"/>
      <c r="C32" s="2"/>
      <c r="D32" s="2"/>
      <c r="E32" s="3"/>
      <c r="F32" s="3"/>
      <c r="G32" s="4" t="str">
        <f t="shared" si="0"/>
        <v/>
      </c>
      <c r="H32" s="4" t="str">
        <f>IF(OR(E32="",F32="",F32&lt;E32),"",NETWORKDAYS.INTL(E32,F32,17,'Holiday List'!$A$4:$A$103))</f>
        <v/>
      </c>
      <c r="I32" s="5"/>
      <c r="J32" s="4" t="str">
        <f t="shared" si="1"/>
        <v/>
      </c>
      <c r="K32" s="4" t="str">
        <f t="shared" si="2"/>
        <v/>
      </c>
      <c r="L32" s="2"/>
      <c r="M32" s="2"/>
      <c r="N32" s="2"/>
    </row>
    <row r="33" spans="1:14" x14ac:dyDescent="0.3">
      <c r="A33" s="2"/>
      <c r="B33" s="2"/>
      <c r="C33" s="2"/>
      <c r="D33" s="2"/>
      <c r="E33" s="3"/>
      <c r="F33" s="3"/>
      <c r="G33" s="4" t="str">
        <f t="shared" si="0"/>
        <v/>
      </c>
      <c r="H33" s="4" t="str">
        <f>IF(OR(E33="",F33="",F33&lt;E33),"",NETWORKDAYS.INTL(E33,F33,17,'Holiday List'!$A$4:$A$103))</f>
        <v/>
      </c>
      <c r="I33" s="5"/>
      <c r="J33" s="4" t="str">
        <f t="shared" si="1"/>
        <v/>
      </c>
      <c r="K33" s="4" t="str">
        <f t="shared" si="2"/>
        <v/>
      </c>
      <c r="L33" s="2"/>
      <c r="M33" s="2"/>
      <c r="N33" s="2"/>
    </row>
    <row r="34" spans="1:14" x14ac:dyDescent="0.3">
      <c r="A34" s="2"/>
      <c r="B34" s="2"/>
      <c r="C34" s="2"/>
      <c r="D34" s="2"/>
      <c r="E34" s="3"/>
      <c r="F34" s="3"/>
      <c r="G34" s="4" t="str">
        <f t="shared" si="0"/>
        <v/>
      </c>
      <c r="H34" s="4" t="str">
        <f>IF(OR(E34="",F34="",F34&lt;E34),"",NETWORKDAYS.INTL(E34,F34,17,'Holiday List'!$A$4:$A$103))</f>
        <v/>
      </c>
      <c r="I34" s="5"/>
      <c r="J34" s="4" t="str">
        <f t="shared" si="1"/>
        <v/>
      </c>
      <c r="K34" s="4" t="str">
        <f t="shared" si="2"/>
        <v/>
      </c>
      <c r="L34" s="2"/>
      <c r="M34" s="2"/>
      <c r="N34" s="2"/>
    </row>
    <row r="35" spans="1:14" x14ac:dyDescent="0.3">
      <c r="A35" s="2"/>
      <c r="B35" s="2"/>
      <c r="C35" s="2"/>
      <c r="D35" s="2"/>
      <c r="E35" s="3"/>
      <c r="F35" s="3"/>
      <c r="G35" s="4" t="str">
        <f t="shared" si="0"/>
        <v/>
      </c>
      <c r="H35" s="4" t="str">
        <f>IF(OR(E35="",F35="",F35&lt;E35),"",NETWORKDAYS.INTL(E35,F35,17,'Holiday List'!$A$4:$A$103))</f>
        <v/>
      </c>
      <c r="I35" s="5"/>
      <c r="J35" s="4" t="str">
        <f t="shared" si="1"/>
        <v/>
      </c>
      <c r="K35" s="4" t="str">
        <f t="shared" si="2"/>
        <v/>
      </c>
      <c r="L35" s="2"/>
      <c r="M35" s="2"/>
      <c r="N35" s="2"/>
    </row>
    <row r="36" spans="1:14" x14ac:dyDescent="0.3">
      <c r="A36" s="2"/>
      <c r="B36" s="2"/>
      <c r="C36" s="2"/>
      <c r="D36" s="2"/>
      <c r="E36" s="3"/>
      <c r="F36" s="3"/>
      <c r="G36" s="4" t="str">
        <f t="shared" si="0"/>
        <v/>
      </c>
      <c r="H36" s="4" t="str">
        <f>IF(OR(E36="",F36="",F36&lt;E36),"",NETWORKDAYS.INTL(E36,F36,17,'Holiday List'!$A$4:$A$103))</f>
        <v/>
      </c>
      <c r="I36" s="5"/>
      <c r="J36" s="4" t="str">
        <f t="shared" si="1"/>
        <v/>
      </c>
      <c r="K36" s="4" t="str">
        <f t="shared" si="2"/>
        <v/>
      </c>
      <c r="L36" s="2"/>
      <c r="M36" s="2"/>
      <c r="N36" s="2"/>
    </row>
    <row r="37" spans="1:14" x14ac:dyDescent="0.3">
      <c r="A37" s="2"/>
      <c r="B37" s="2"/>
      <c r="C37" s="2"/>
      <c r="D37" s="2"/>
      <c r="E37" s="3"/>
      <c r="F37" s="3"/>
      <c r="G37" s="4" t="str">
        <f t="shared" ref="G37:G68" si="3">IF(OR(E37="",F37=""),"",MAX(0,F37-E37+1))</f>
        <v/>
      </c>
      <c r="H37" s="4" t="str">
        <f>IF(OR(E37="",F37="",F37&lt;E37),"",NETWORKDAYS.INTL(E37,F37,17,'Holiday List'!$A$4:$A$103))</f>
        <v/>
      </c>
      <c r="I37" s="5"/>
      <c r="J37" s="4" t="str">
        <f t="shared" ref="J37:J68" si="4">IF(A37="","",SUMIFS($H$5:$H$204,$A$5:$A$204,A37,$L$5:$L$204,"Approved"))</f>
        <v/>
      </c>
      <c r="K37" s="4" t="str">
        <f t="shared" ref="K37:K68" si="5">IF(OR(A37="",I37=""),"",I37-J37)</f>
        <v/>
      </c>
      <c r="L37" s="2"/>
      <c r="M37" s="2"/>
      <c r="N37" s="2"/>
    </row>
    <row r="38" spans="1:14" x14ac:dyDescent="0.3">
      <c r="A38" s="2"/>
      <c r="B38" s="2"/>
      <c r="C38" s="2"/>
      <c r="D38" s="2"/>
      <c r="E38" s="3"/>
      <c r="F38" s="3"/>
      <c r="G38" s="4" t="str">
        <f t="shared" si="3"/>
        <v/>
      </c>
      <c r="H38" s="4" t="str">
        <f>IF(OR(E38="",F38="",F38&lt;E38),"",NETWORKDAYS.INTL(E38,F38,17,'Holiday List'!$A$4:$A$103))</f>
        <v/>
      </c>
      <c r="I38" s="5"/>
      <c r="J38" s="4" t="str">
        <f t="shared" si="4"/>
        <v/>
      </c>
      <c r="K38" s="4" t="str">
        <f t="shared" si="5"/>
        <v/>
      </c>
      <c r="L38" s="2"/>
      <c r="M38" s="2"/>
      <c r="N38" s="2"/>
    </row>
    <row r="39" spans="1:14" x14ac:dyDescent="0.3">
      <c r="A39" s="2"/>
      <c r="B39" s="2"/>
      <c r="C39" s="2"/>
      <c r="D39" s="2"/>
      <c r="E39" s="3"/>
      <c r="F39" s="3"/>
      <c r="G39" s="4" t="str">
        <f t="shared" si="3"/>
        <v/>
      </c>
      <c r="H39" s="4" t="str">
        <f>IF(OR(E39="",F39="",F39&lt;E39),"",NETWORKDAYS.INTL(E39,F39,17,'Holiday List'!$A$4:$A$103))</f>
        <v/>
      </c>
      <c r="I39" s="5"/>
      <c r="J39" s="4" t="str">
        <f t="shared" si="4"/>
        <v/>
      </c>
      <c r="K39" s="4" t="str">
        <f t="shared" si="5"/>
        <v/>
      </c>
      <c r="L39" s="2"/>
      <c r="M39" s="2"/>
      <c r="N39" s="2"/>
    </row>
    <row r="40" spans="1:14" x14ac:dyDescent="0.3">
      <c r="A40" s="2"/>
      <c r="B40" s="2"/>
      <c r="C40" s="2"/>
      <c r="D40" s="2"/>
      <c r="E40" s="3"/>
      <c r="F40" s="3"/>
      <c r="G40" s="4" t="str">
        <f t="shared" si="3"/>
        <v/>
      </c>
      <c r="H40" s="4" t="str">
        <f>IF(OR(E40="",F40="",F40&lt;E40),"",NETWORKDAYS.INTL(E40,F40,17,'Holiday List'!$A$4:$A$103))</f>
        <v/>
      </c>
      <c r="I40" s="5"/>
      <c r="J40" s="4" t="str">
        <f t="shared" si="4"/>
        <v/>
      </c>
      <c r="K40" s="4" t="str">
        <f t="shared" si="5"/>
        <v/>
      </c>
      <c r="L40" s="2"/>
      <c r="M40" s="2"/>
      <c r="N40" s="2"/>
    </row>
    <row r="41" spans="1:14" x14ac:dyDescent="0.3">
      <c r="A41" s="2"/>
      <c r="B41" s="2"/>
      <c r="C41" s="2"/>
      <c r="D41" s="2"/>
      <c r="E41" s="3"/>
      <c r="F41" s="3"/>
      <c r="G41" s="4" t="str">
        <f t="shared" si="3"/>
        <v/>
      </c>
      <c r="H41" s="4" t="str">
        <f>IF(OR(E41="",F41="",F41&lt;E41),"",NETWORKDAYS.INTL(E41,F41,17,'Holiday List'!$A$4:$A$103))</f>
        <v/>
      </c>
      <c r="I41" s="5"/>
      <c r="J41" s="4" t="str">
        <f t="shared" si="4"/>
        <v/>
      </c>
      <c r="K41" s="4" t="str">
        <f t="shared" si="5"/>
        <v/>
      </c>
      <c r="L41" s="2"/>
      <c r="M41" s="2"/>
      <c r="N41" s="2"/>
    </row>
    <row r="42" spans="1:14" x14ac:dyDescent="0.3">
      <c r="A42" s="2"/>
      <c r="B42" s="2"/>
      <c r="C42" s="2"/>
      <c r="D42" s="2"/>
      <c r="E42" s="3"/>
      <c r="F42" s="3"/>
      <c r="G42" s="4" t="str">
        <f t="shared" si="3"/>
        <v/>
      </c>
      <c r="H42" s="4" t="str">
        <f>IF(OR(E42="",F42="",F42&lt;E42),"",NETWORKDAYS.INTL(E42,F42,17,'Holiday List'!$A$4:$A$103))</f>
        <v/>
      </c>
      <c r="I42" s="5"/>
      <c r="J42" s="4" t="str">
        <f t="shared" si="4"/>
        <v/>
      </c>
      <c r="K42" s="4" t="str">
        <f t="shared" si="5"/>
        <v/>
      </c>
      <c r="L42" s="2"/>
      <c r="M42" s="2"/>
      <c r="N42" s="2"/>
    </row>
    <row r="43" spans="1:14" x14ac:dyDescent="0.3">
      <c r="A43" s="2"/>
      <c r="B43" s="2"/>
      <c r="C43" s="2"/>
      <c r="D43" s="2"/>
      <c r="E43" s="3"/>
      <c r="F43" s="3"/>
      <c r="G43" s="4" t="str">
        <f t="shared" si="3"/>
        <v/>
      </c>
      <c r="H43" s="4" t="str">
        <f>IF(OR(E43="",F43="",F43&lt;E43),"",NETWORKDAYS.INTL(E43,F43,17,'Holiday List'!$A$4:$A$103))</f>
        <v/>
      </c>
      <c r="I43" s="5"/>
      <c r="J43" s="4" t="str">
        <f t="shared" si="4"/>
        <v/>
      </c>
      <c r="K43" s="4" t="str">
        <f t="shared" si="5"/>
        <v/>
      </c>
      <c r="L43" s="2"/>
      <c r="M43" s="2"/>
      <c r="N43" s="2"/>
    </row>
    <row r="44" spans="1:14" x14ac:dyDescent="0.3">
      <c r="A44" s="2"/>
      <c r="B44" s="2"/>
      <c r="C44" s="2"/>
      <c r="D44" s="2"/>
      <c r="E44" s="3"/>
      <c r="F44" s="3"/>
      <c r="G44" s="4" t="str">
        <f t="shared" si="3"/>
        <v/>
      </c>
      <c r="H44" s="4" t="str">
        <f>IF(OR(E44="",F44="",F44&lt;E44),"",NETWORKDAYS.INTL(E44,F44,17,'Holiday List'!$A$4:$A$103))</f>
        <v/>
      </c>
      <c r="I44" s="5"/>
      <c r="J44" s="4" t="str">
        <f t="shared" si="4"/>
        <v/>
      </c>
      <c r="K44" s="4" t="str">
        <f t="shared" si="5"/>
        <v/>
      </c>
      <c r="L44" s="2"/>
      <c r="M44" s="2"/>
      <c r="N44" s="2"/>
    </row>
    <row r="45" spans="1:14" x14ac:dyDescent="0.3">
      <c r="A45" s="2"/>
      <c r="B45" s="2"/>
      <c r="C45" s="2"/>
      <c r="D45" s="2"/>
      <c r="E45" s="3"/>
      <c r="F45" s="3"/>
      <c r="G45" s="4" t="str">
        <f t="shared" si="3"/>
        <v/>
      </c>
      <c r="H45" s="4" t="str">
        <f>IF(OR(E45="",F45="",F45&lt;E45),"",NETWORKDAYS.INTL(E45,F45,17,'Holiday List'!$A$4:$A$103))</f>
        <v/>
      </c>
      <c r="I45" s="5"/>
      <c r="J45" s="4" t="str">
        <f t="shared" si="4"/>
        <v/>
      </c>
      <c r="K45" s="4" t="str">
        <f t="shared" si="5"/>
        <v/>
      </c>
      <c r="L45" s="2"/>
      <c r="M45" s="2"/>
      <c r="N45" s="2"/>
    </row>
    <row r="46" spans="1:14" x14ac:dyDescent="0.3">
      <c r="A46" s="2"/>
      <c r="B46" s="2"/>
      <c r="C46" s="2"/>
      <c r="D46" s="2"/>
      <c r="E46" s="3"/>
      <c r="F46" s="3"/>
      <c r="G46" s="4" t="str">
        <f t="shared" si="3"/>
        <v/>
      </c>
      <c r="H46" s="4" t="str">
        <f>IF(OR(E46="",F46="",F46&lt;E46),"",NETWORKDAYS.INTL(E46,F46,17,'Holiday List'!$A$4:$A$103))</f>
        <v/>
      </c>
      <c r="I46" s="5"/>
      <c r="J46" s="4" t="str">
        <f t="shared" si="4"/>
        <v/>
      </c>
      <c r="K46" s="4" t="str">
        <f t="shared" si="5"/>
        <v/>
      </c>
      <c r="L46" s="2"/>
      <c r="M46" s="2"/>
      <c r="N46" s="2"/>
    </row>
    <row r="47" spans="1:14" x14ac:dyDescent="0.3">
      <c r="A47" s="2"/>
      <c r="B47" s="2"/>
      <c r="C47" s="2"/>
      <c r="D47" s="2"/>
      <c r="E47" s="3"/>
      <c r="F47" s="3"/>
      <c r="G47" s="4" t="str">
        <f t="shared" si="3"/>
        <v/>
      </c>
      <c r="H47" s="4" t="str">
        <f>IF(OR(E47="",F47="",F47&lt;E47),"",NETWORKDAYS.INTL(E47,F47,17,'Holiday List'!$A$4:$A$103))</f>
        <v/>
      </c>
      <c r="I47" s="5"/>
      <c r="J47" s="4" t="str">
        <f t="shared" si="4"/>
        <v/>
      </c>
      <c r="K47" s="4" t="str">
        <f t="shared" si="5"/>
        <v/>
      </c>
      <c r="L47" s="2"/>
      <c r="M47" s="2"/>
      <c r="N47" s="2"/>
    </row>
    <row r="48" spans="1:14" x14ac:dyDescent="0.3">
      <c r="A48" s="2"/>
      <c r="B48" s="2"/>
      <c r="C48" s="2"/>
      <c r="D48" s="2"/>
      <c r="E48" s="3"/>
      <c r="F48" s="3"/>
      <c r="G48" s="4" t="str">
        <f t="shared" si="3"/>
        <v/>
      </c>
      <c r="H48" s="4" t="str">
        <f>IF(OR(E48="",F48="",F48&lt;E48),"",NETWORKDAYS.INTL(E48,F48,17,'Holiday List'!$A$4:$A$103))</f>
        <v/>
      </c>
      <c r="I48" s="5"/>
      <c r="J48" s="4" t="str">
        <f t="shared" si="4"/>
        <v/>
      </c>
      <c r="K48" s="4" t="str">
        <f t="shared" si="5"/>
        <v/>
      </c>
      <c r="L48" s="2"/>
      <c r="M48" s="2"/>
      <c r="N48" s="2"/>
    </row>
    <row r="49" spans="1:14" x14ac:dyDescent="0.3">
      <c r="A49" s="2"/>
      <c r="B49" s="2"/>
      <c r="C49" s="2"/>
      <c r="D49" s="2"/>
      <c r="E49" s="3"/>
      <c r="F49" s="3"/>
      <c r="G49" s="4" t="str">
        <f t="shared" si="3"/>
        <v/>
      </c>
      <c r="H49" s="4" t="str">
        <f>IF(OR(E49="",F49="",F49&lt;E49),"",NETWORKDAYS.INTL(E49,F49,17,'Holiday List'!$A$4:$A$103))</f>
        <v/>
      </c>
      <c r="I49" s="5"/>
      <c r="J49" s="4" t="str">
        <f t="shared" si="4"/>
        <v/>
      </c>
      <c r="K49" s="4" t="str">
        <f t="shared" si="5"/>
        <v/>
      </c>
      <c r="L49" s="2"/>
      <c r="M49" s="2"/>
      <c r="N49" s="2"/>
    </row>
    <row r="50" spans="1:14" x14ac:dyDescent="0.3">
      <c r="A50" s="2"/>
      <c r="B50" s="2"/>
      <c r="C50" s="2"/>
      <c r="D50" s="2"/>
      <c r="E50" s="3"/>
      <c r="F50" s="3"/>
      <c r="G50" s="4" t="str">
        <f t="shared" si="3"/>
        <v/>
      </c>
      <c r="H50" s="4" t="str">
        <f>IF(OR(E50="",F50="",F50&lt;E50),"",NETWORKDAYS.INTL(E50,F50,17,'Holiday List'!$A$4:$A$103))</f>
        <v/>
      </c>
      <c r="I50" s="5"/>
      <c r="J50" s="4" t="str">
        <f t="shared" si="4"/>
        <v/>
      </c>
      <c r="K50" s="4" t="str">
        <f t="shared" si="5"/>
        <v/>
      </c>
      <c r="L50" s="2"/>
      <c r="M50" s="2"/>
      <c r="N50" s="2"/>
    </row>
    <row r="51" spans="1:14" x14ac:dyDescent="0.3">
      <c r="A51" s="2"/>
      <c r="B51" s="2"/>
      <c r="C51" s="2"/>
      <c r="D51" s="2"/>
      <c r="E51" s="3"/>
      <c r="F51" s="3"/>
      <c r="G51" s="4" t="str">
        <f t="shared" si="3"/>
        <v/>
      </c>
      <c r="H51" s="4" t="str">
        <f>IF(OR(E51="",F51="",F51&lt;E51),"",NETWORKDAYS.INTL(E51,F51,17,'Holiday List'!$A$4:$A$103))</f>
        <v/>
      </c>
      <c r="I51" s="5"/>
      <c r="J51" s="4" t="str">
        <f t="shared" si="4"/>
        <v/>
      </c>
      <c r="K51" s="4" t="str">
        <f t="shared" si="5"/>
        <v/>
      </c>
      <c r="L51" s="2"/>
      <c r="M51" s="2"/>
      <c r="N51" s="2"/>
    </row>
    <row r="52" spans="1:14" x14ac:dyDescent="0.3">
      <c r="A52" s="2"/>
      <c r="B52" s="2"/>
      <c r="C52" s="2"/>
      <c r="D52" s="2"/>
      <c r="E52" s="3"/>
      <c r="F52" s="3"/>
      <c r="G52" s="4" t="str">
        <f t="shared" si="3"/>
        <v/>
      </c>
      <c r="H52" s="4" t="str">
        <f>IF(OR(E52="",F52="",F52&lt;E52),"",NETWORKDAYS.INTL(E52,F52,17,'Holiday List'!$A$4:$A$103))</f>
        <v/>
      </c>
      <c r="I52" s="5"/>
      <c r="J52" s="4" t="str">
        <f t="shared" si="4"/>
        <v/>
      </c>
      <c r="K52" s="4" t="str">
        <f t="shared" si="5"/>
        <v/>
      </c>
      <c r="L52" s="2"/>
      <c r="M52" s="2"/>
      <c r="N52" s="2"/>
    </row>
    <row r="53" spans="1:14" x14ac:dyDescent="0.3">
      <c r="A53" s="2"/>
      <c r="B53" s="2"/>
      <c r="C53" s="2"/>
      <c r="D53" s="2"/>
      <c r="E53" s="3"/>
      <c r="F53" s="3"/>
      <c r="G53" s="4" t="str">
        <f t="shared" si="3"/>
        <v/>
      </c>
      <c r="H53" s="4" t="str">
        <f>IF(OR(E53="",F53="",F53&lt;E53),"",NETWORKDAYS.INTL(E53,F53,17,'Holiday List'!$A$4:$A$103))</f>
        <v/>
      </c>
      <c r="I53" s="5"/>
      <c r="J53" s="4" t="str">
        <f t="shared" si="4"/>
        <v/>
      </c>
      <c r="K53" s="4" t="str">
        <f t="shared" si="5"/>
        <v/>
      </c>
      <c r="L53" s="2"/>
      <c r="M53" s="2"/>
      <c r="N53" s="2"/>
    </row>
    <row r="54" spans="1:14" x14ac:dyDescent="0.3">
      <c r="A54" s="2"/>
      <c r="B54" s="2"/>
      <c r="C54" s="2"/>
      <c r="D54" s="2"/>
      <c r="E54" s="3"/>
      <c r="F54" s="3"/>
      <c r="G54" s="4" t="str">
        <f t="shared" si="3"/>
        <v/>
      </c>
      <c r="H54" s="4" t="str">
        <f>IF(OR(E54="",F54="",F54&lt;E54),"",NETWORKDAYS.INTL(E54,F54,17,'Holiday List'!$A$4:$A$103))</f>
        <v/>
      </c>
      <c r="I54" s="5"/>
      <c r="J54" s="4" t="str">
        <f t="shared" si="4"/>
        <v/>
      </c>
      <c r="K54" s="4" t="str">
        <f t="shared" si="5"/>
        <v/>
      </c>
      <c r="L54" s="2"/>
      <c r="M54" s="2"/>
      <c r="N54" s="2"/>
    </row>
    <row r="55" spans="1:14" x14ac:dyDescent="0.3">
      <c r="A55" s="2"/>
      <c r="B55" s="2"/>
      <c r="C55" s="2"/>
      <c r="D55" s="2"/>
      <c r="E55" s="3"/>
      <c r="F55" s="3"/>
      <c r="G55" s="4" t="str">
        <f t="shared" si="3"/>
        <v/>
      </c>
      <c r="H55" s="4" t="str">
        <f>IF(OR(E55="",F55="",F55&lt;E55),"",NETWORKDAYS.INTL(E55,F55,17,'Holiday List'!$A$4:$A$103))</f>
        <v/>
      </c>
      <c r="I55" s="5"/>
      <c r="J55" s="4" t="str">
        <f t="shared" si="4"/>
        <v/>
      </c>
      <c r="K55" s="4" t="str">
        <f t="shared" si="5"/>
        <v/>
      </c>
      <c r="L55" s="2"/>
      <c r="M55" s="2"/>
      <c r="N55" s="2"/>
    </row>
    <row r="56" spans="1:14" x14ac:dyDescent="0.3">
      <c r="A56" s="2"/>
      <c r="B56" s="2"/>
      <c r="C56" s="2"/>
      <c r="D56" s="2"/>
      <c r="E56" s="3"/>
      <c r="F56" s="3"/>
      <c r="G56" s="4" t="str">
        <f t="shared" si="3"/>
        <v/>
      </c>
      <c r="H56" s="4" t="str">
        <f>IF(OR(E56="",F56="",F56&lt;E56),"",NETWORKDAYS.INTL(E56,F56,17,'Holiday List'!$A$4:$A$103))</f>
        <v/>
      </c>
      <c r="I56" s="5"/>
      <c r="J56" s="4" t="str">
        <f t="shared" si="4"/>
        <v/>
      </c>
      <c r="K56" s="4" t="str">
        <f t="shared" si="5"/>
        <v/>
      </c>
      <c r="L56" s="2"/>
      <c r="M56" s="2"/>
      <c r="N56" s="2"/>
    </row>
    <row r="57" spans="1:14" x14ac:dyDescent="0.3">
      <c r="A57" s="2"/>
      <c r="B57" s="2"/>
      <c r="C57" s="2"/>
      <c r="D57" s="2"/>
      <c r="E57" s="3"/>
      <c r="F57" s="3"/>
      <c r="G57" s="4" t="str">
        <f t="shared" si="3"/>
        <v/>
      </c>
      <c r="H57" s="4" t="str">
        <f>IF(OR(E57="",F57="",F57&lt;E57),"",NETWORKDAYS.INTL(E57,F57,17,'Holiday List'!$A$4:$A$103))</f>
        <v/>
      </c>
      <c r="I57" s="5"/>
      <c r="J57" s="4" t="str">
        <f t="shared" si="4"/>
        <v/>
      </c>
      <c r="K57" s="4" t="str">
        <f t="shared" si="5"/>
        <v/>
      </c>
      <c r="L57" s="2"/>
      <c r="M57" s="2"/>
      <c r="N57" s="2"/>
    </row>
    <row r="58" spans="1:14" x14ac:dyDescent="0.3">
      <c r="A58" s="2"/>
      <c r="B58" s="2"/>
      <c r="C58" s="2"/>
      <c r="D58" s="2"/>
      <c r="E58" s="3"/>
      <c r="F58" s="3"/>
      <c r="G58" s="4" t="str">
        <f t="shared" si="3"/>
        <v/>
      </c>
      <c r="H58" s="4" t="str">
        <f>IF(OR(E58="",F58="",F58&lt;E58),"",NETWORKDAYS.INTL(E58,F58,17,'Holiday List'!$A$4:$A$103))</f>
        <v/>
      </c>
      <c r="I58" s="5"/>
      <c r="J58" s="4" t="str">
        <f t="shared" si="4"/>
        <v/>
      </c>
      <c r="K58" s="4" t="str">
        <f t="shared" si="5"/>
        <v/>
      </c>
      <c r="L58" s="2"/>
      <c r="M58" s="2"/>
      <c r="N58" s="2"/>
    </row>
    <row r="59" spans="1:14" x14ac:dyDescent="0.3">
      <c r="A59" s="2"/>
      <c r="B59" s="2"/>
      <c r="C59" s="2"/>
      <c r="D59" s="2"/>
      <c r="E59" s="3"/>
      <c r="F59" s="3"/>
      <c r="G59" s="4" t="str">
        <f t="shared" si="3"/>
        <v/>
      </c>
      <c r="H59" s="4" t="str">
        <f>IF(OR(E59="",F59="",F59&lt;E59),"",NETWORKDAYS.INTL(E59,F59,17,'Holiday List'!$A$4:$A$103))</f>
        <v/>
      </c>
      <c r="I59" s="5"/>
      <c r="J59" s="4" t="str">
        <f t="shared" si="4"/>
        <v/>
      </c>
      <c r="K59" s="4" t="str">
        <f t="shared" si="5"/>
        <v/>
      </c>
      <c r="L59" s="2"/>
      <c r="M59" s="2"/>
      <c r="N59" s="2"/>
    </row>
    <row r="60" spans="1:14" x14ac:dyDescent="0.3">
      <c r="A60" s="2"/>
      <c r="B60" s="2"/>
      <c r="C60" s="2"/>
      <c r="D60" s="2"/>
      <c r="E60" s="3"/>
      <c r="F60" s="3"/>
      <c r="G60" s="4" t="str">
        <f t="shared" si="3"/>
        <v/>
      </c>
      <c r="H60" s="4" t="str">
        <f>IF(OR(E60="",F60="",F60&lt;E60),"",NETWORKDAYS.INTL(E60,F60,17,'Holiday List'!$A$4:$A$103))</f>
        <v/>
      </c>
      <c r="I60" s="5"/>
      <c r="J60" s="4" t="str">
        <f t="shared" si="4"/>
        <v/>
      </c>
      <c r="K60" s="4" t="str">
        <f t="shared" si="5"/>
        <v/>
      </c>
      <c r="L60" s="2"/>
      <c r="M60" s="2"/>
      <c r="N60" s="2"/>
    </row>
    <row r="61" spans="1:14" x14ac:dyDescent="0.3">
      <c r="A61" s="2"/>
      <c r="B61" s="2"/>
      <c r="C61" s="2"/>
      <c r="D61" s="2"/>
      <c r="E61" s="3"/>
      <c r="F61" s="3"/>
      <c r="G61" s="4" t="str">
        <f t="shared" si="3"/>
        <v/>
      </c>
      <c r="H61" s="4" t="str">
        <f>IF(OR(E61="",F61="",F61&lt;E61),"",NETWORKDAYS.INTL(E61,F61,17,'Holiday List'!$A$4:$A$103))</f>
        <v/>
      </c>
      <c r="I61" s="5"/>
      <c r="J61" s="4" t="str">
        <f t="shared" si="4"/>
        <v/>
      </c>
      <c r="K61" s="4" t="str">
        <f t="shared" si="5"/>
        <v/>
      </c>
      <c r="L61" s="2"/>
      <c r="M61" s="2"/>
      <c r="N61" s="2"/>
    </row>
    <row r="62" spans="1:14" x14ac:dyDescent="0.3">
      <c r="A62" s="2"/>
      <c r="B62" s="2"/>
      <c r="C62" s="2"/>
      <c r="D62" s="2"/>
      <c r="E62" s="3"/>
      <c r="F62" s="3"/>
      <c r="G62" s="4" t="str">
        <f t="shared" si="3"/>
        <v/>
      </c>
      <c r="H62" s="4" t="str">
        <f>IF(OR(E62="",F62="",F62&lt;E62),"",NETWORKDAYS.INTL(E62,F62,17,'Holiday List'!$A$4:$A$103))</f>
        <v/>
      </c>
      <c r="I62" s="5"/>
      <c r="J62" s="4" t="str">
        <f t="shared" si="4"/>
        <v/>
      </c>
      <c r="K62" s="4" t="str">
        <f t="shared" si="5"/>
        <v/>
      </c>
      <c r="L62" s="2"/>
      <c r="M62" s="2"/>
      <c r="N62" s="2"/>
    </row>
    <row r="63" spans="1:14" x14ac:dyDescent="0.3">
      <c r="A63" s="2"/>
      <c r="B63" s="2"/>
      <c r="C63" s="2"/>
      <c r="D63" s="2"/>
      <c r="E63" s="3"/>
      <c r="F63" s="3"/>
      <c r="G63" s="4" t="str">
        <f t="shared" si="3"/>
        <v/>
      </c>
      <c r="H63" s="4" t="str">
        <f>IF(OR(E63="",F63="",F63&lt;E63),"",NETWORKDAYS.INTL(E63,F63,17,'Holiday List'!$A$4:$A$103))</f>
        <v/>
      </c>
      <c r="I63" s="5"/>
      <c r="J63" s="4" t="str">
        <f t="shared" si="4"/>
        <v/>
      </c>
      <c r="K63" s="4" t="str">
        <f t="shared" si="5"/>
        <v/>
      </c>
      <c r="L63" s="2"/>
      <c r="M63" s="2"/>
      <c r="N63" s="2"/>
    </row>
    <row r="64" spans="1:14" x14ac:dyDescent="0.3">
      <c r="A64" s="2"/>
      <c r="B64" s="2"/>
      <c r="C64" s="2"/>
      <c r="D64" s="2"/>
      <c r="E64" s="3"/>
      <c r="F64" s="3"/>
      <c r="G64" s="4" t="str">
        <f t="shared" si="3"/>
        <v/>
      </c>
      <c r="H64" s="4" t="str">
        <f>IF(OR(E64="",F64="",F64&lt;E64),"",NETWORKDAYS.INTL(E64,F64,17,'Holiday List'!$A$4:$A$103))</f>
        <v/>
      </c>
      <c r="I64" s="5"/>
      <c r="J64" s="4" t="str">
        <f t="shared" si="4"/>
        <v/>
      </c>
      <c r="K64" s="4" t="str">
        <f t="shared" si="5"/>
        <v/>
      </c>
      <c r="L64" s="2"/>
      <c r="M64" s="2"/>
      <c r="N64" s="2"/>
    </row>
    <row r="65" spans="1:14" x14ac:dyDescent="0.3">
      <c r="A65" s="2"/>
      <c r="B65" s="2"/>
      <c r="C65" s="2"/>
      <c r="D65" s="2"/>
      <c r="E65" s="3"/>
      <c r="F65" s="3"/>
      <c r="G65" s="4" t="str">
        <f t="shared" si="3"/>
        <v/>
      </c>
      <c r="H65" s="4" t="str">
        <f>IF(OR(E65="",F65="",F65&lt;E65),"",NETWORKDAYS.INTL(E65,F65,17,'Holiday List'!$A$4:$A$103))</f>
        <v/>
      </c>
      <c r="I65" s="5"/>
      <c r="J65" s="4" t="str">
        <f t="shared" si="4"/>
        <v/>
      </c>
      <c r="K65" s="4" t="str">
        <f t="shared" si="5"/>
        <v/>
      </c>
      <c r="L65" s="2"/>
      <c r="M65" s="2"/>
      <c r="N65" s="2"/>
    </row>
    <row r="66" spans="1:14" x14ac:dyDescent="0.3">
      <c r="A66" s="2"/>
      <c r="B66" s="2"/>
      <c r="C66" s="2"/>
      <c r="D66" s="2"/>
      <c r="E66" s="3"/>
      <c r="F66" s="3"/>
      <c r="G66" s="4" t="str">
        <f t="shared" si="3"/>
        <v/>
      </c>
      <c r="H66" s="4" t="str">
        <f>IF(OR(E66="",F66="",F66&lt;E66),"",NETWORKDAYS.INTL(E66,F66,17,'Holiday List'!$A$4:$A$103))</f>
        <v/>
      </c>
      <c r="I66" s="5"/>
      <c r="J66" s="4" t="str">
        <f t="shared" si="4"/>
        <v/>
      </c>
      <c r="K66" s="4" t="str">
        <f t="shared" si="5"/>
        <v/>
      </c>
      <c r="L66" s="2"/>
      <c r="M66" s="2"/>
      <c r="N66" s="2"/>
    </row>
    <row r="67" spans="1:14" x14ac:dyDescent="0.3">
      <c r="A67" s="2"/>
      <c r="B67" s="2"/>
      <c r="C67" s="2"/>
      <c r="D67" s="2"/>
      <c r="E67" s="3"/>
      <c r="F67" s="3"/>
      <c r="G67" s="4" t="str">
        <f t="shared" si="3"/>
        <v/>
      </c>
      <c r="H67" s="4" t="str">
        <f>IF(OR(E67="",F67="",F67&lt;E67),"",NETWORKDAYS.INTL(E67,F67,17,'Holiday List'!$A$4:$A$103))</f>
        <v/>
      </c>
      <c r="I67" s="5"/>
      <c r="J67" s="4" t="str">
        <f t="shared" si="4"/>
        <v/>
      </c>
      <c r="K67" s="4" t="str">
        <f t="shared" si="5"/>
        <v/>
      </c>
      <c r="L67" s="2"/>
      <c r="M67" s="2"/>
      <c r="N67" s="2"/>
    </row>
    <row r="68" spans="1:14" x14ac:dyDescent="0.3">
      <c r="A68" s="2"/>
      <c r="B68" s="2"/>
      <c r="C68" s="2"/>
      <c r="D68" s="2"/>
      <c r="E68" s="3"/>
      <c r="F68" s="3"/>
      <c r="G68" s="4" t="str">
        <f t="shared" si="3"/>
        <v/>
      </c>
      <c r="H68" s="4" t="str">
        <f>IF(OR(E68="",F68="",F68&lt;E68),"",NETWORKDAYS.INTL(E68,F68,17,'Holiday List'!$A$4:$A$103))</f>
        <v/>
      </c>
      <c r="I68" s="5"/>
      <c r="J68" s="4" t="str">
        <f t="shared" si="4"/>
        <v/>
      </c>
      <c r="K68" s="4" t="str">
        <f t="shared" si="5"/>
        <v/>
      </c>
      <c r="L68" s="2"/>
      <c r="M68" s="2"/>
      <c r="N68" s="2"/>
    </row>
    <row r="69" spans="1:14" x14ac:dyDescent="0.3">
      <c r="A69" s="2"/>
      <c r="B69" s="2"/>
      <c r="C69" s="2"/>
      <c r="D69" s="2"/>
      <c r="E69" s="3"/>
      <c r="F69" s="3"/>
      <c r="G69" s="4" t="str">
        <f t="shared" ref="G69:G100" si="6">IF(OR(E69="",F69=""),"",MAX(0,F69-E69+1))</f>
        <v/>
      </c>
      <c r="H69" s="4" t="str">
        <f>IF(OR(E69="",F69="",F69&lt;E69),"",NETWORKDAYS.INTL(E69,F69,17,'Holiday List'!$A$4:$A$103))</f>
        <v/>
      </c>
      <c r="I69" s="5"/>
      <c r="J69" s="4" t="str">
        <f t="shared" ref="J69:J100" si="7">IF(A69="","",SUMIFS($H$5:$H$204,$A$5:$A$204,A69,$L$5:$L$204,"Approved"))</f>
        <v/>
      </c>
      <c r="K69" s="4" t="str">
        <f t="shared" ref="K69:K100" si="8">IF(OR(A69="",I69=""),"",I69-J69)</f>
        <v/>
      </c>
      <c r="L69" s="2"/>
      <c r="M69" s="2"/>
      <c r="N69" s="2"/>
    </row>
    <row r="70" spans="1:14" x14ac:dyDescent="0.3">
      <c r="A70" s="2"/>
      <c r="B70" s="2"/>
      <c r="C70" s="2"/>
      <c r="D70" s="2"/>
      <c r="E70" s="3"/>
      <c r="F70" s="3"/>
      <c r="G70" s="4" t="str">
        <f t="shared" si="6"/>
        <v/>
      </c>
      <c r="H70" s="4" t="str">
        <f>IF(OR(E70="",F70="",F70&lt;E70),"",NETWORKDAYS.INTL(E70,F70,17,'Holiday List'!$A$4:$A$103))</f>
        <v/>
      </c>
      <c r="I70" s="5"/>
      <c r="J70" s="4" t="str">
        <f t="shared" si="7"/>
        <v/>
      </c>
      <c r="K70" s="4" t="str">
        <f t="shared" si="8"/>
        <v/>
      </c>
      <c r="L70" s="2"/>
      <c r="M70" s="2"/>
      <c r="N70" s="2"/>
    </row>
    <row r="71" spans="1:14" x14ac:dyDescent="0.3">
      <c r="A71" s="2"/>
      <c r="B71" s="2"/>
      <c r="C71" s="2"/>
      <c r="D71" s="2"/>
      <c r="E71" s="3"/>
      <c r="F71" s="3"/>
      <c r="G71" s="4" t="str">
        <f t="shared" si="6"/>
        <v/>
      </c>
      <c r="H71" s="4" t="str">
        <f>IF(OR(E71="",F71="",F71&lt;E71),"",NETWORKDAYS.INTL(E71,F71,17,'Holiday List'!$A$4:$A$103))</f>
        <v/>
      </c>
      <c r="I71" s="5"/>
      <c r="J71" s="4" t="str">
        <f t="shared" si="7"/>
        <v/>
      </c>
      <c r="K71" s="4" t="str">
        <f t="shared" si="8"/>
        <v/>
      </c>
      <c r="L71" s="2"/>
      <c r="M71" s="2"/>
      <c r="N71" s="2"/>
    </row>
    <row r="72" spans="1:14" x14ac:dyDescent="0.3">
      <c r="A72" s="2"/>
      <c r="B72" s="2"/>
      <c r="C72" s="2"/>
      <c r="D72" s="2"/>
      <c r="E72" s="3"/>
      <c r="F72" s="3"/>
      <c r="G72" s="4" t="str">
        <f t="shared" si="6"/>
        <v/>
      </c>
      <c r="H72" s="4" t="str">
        <f>IF(OR(E72="",F72="",F72&lt;E72),"",NETWORKDAYS.INTL(E72,F72,17,'Holiday List'!$A$4:$A$103))</f>
        <v/>
      </c>
      <c r="I72" s="5"/>
      <c r="J72" s="4" t="str">
        <f t="shared" si="7"/>
        <v/>
      </c>
      <c r="K72" s="4" t="str">
        <f t="shared" si="8"/>
        <v/>
      </c>
      <c r="L72" s="2"/>
      <c r="M72" s="2"/>
      <c r="N72" s="2"/>
    </row>
    <row r="73" spans="1:14" x14ac:dyDescent="0.3">
      <c r="A73" s="2"/>
      <c r="B73" s="2"/>
      <c r="C73" s="2"/>
      <c r="D73" s="2"/>
      <c r="E73" s="3"/>
      <c r="F73" s="3"/>
      <c r="G73" s="4" t="str">
        <f t="shared" si="6"/>
        <v/>
      </c>
      <c r="H73" s="4" t="str">
        <f>IF(OR(E73="",F73="",F73&lt;E73),"",NETWORKDAYS.INTL(E73,F73,17,'Holiday List'!$A$4:$A$103))</f>
        <v/>
      </c>
      <c r="I73" s="5"/>
      <c r="J73" s="4" t="str">
        <f t="shared" si="7"/>
        <v/>
      </c>
      <c r="K73" s="4" t="str">
        <f t="shared" si="8"/>
        <v/>
      </c>
      <c r="L73" s="2"/>
      <c r="M73" s="2"/>
      <c r="N73" s="2"/>
    </row>
    <row r="74" spans="1:14" x14ac:dyDescent="0.3">
      <c r="A74" s="2"/>
      <c r="B74" s="2"/>
      <c r="C74" s="2"/>
      <c r="D74" s="2"/>
      <c r="E74" s="3"/>
      <c r="F74" s="3"/>
      <c r="G74" s="4" t="str">
        <f t="shared" si="6"/>
        <v/>
      </c>
      <c r="H74" s="4" t="str">
        <f>IF(OR(E74="",F74="",F74&lt;E74),"",NETWORKDAYS.INTL(E74,F74,17,'Holiday List'!$A$4:$A$103))</f>
        <v/>
      </c>
      <c r="I74" s="5"/>
      <c r="J74" s="4" t="str">
        <f t="shared" si="7"/>
        <v/>
      </c>
      <c r="K74" s="4" t="str">
        <f t="shared" si="8"/>
        <v/>
      </c>
      <c r="L74" s="2"/>
      <c r="M74" s="2"/>
      <c r="N74" s="2"/>
    </row>
    <row r="75" spans="1:14" x14ac:dyDescent="0.3">
      <c r="A75" s="2"/>
      <c r="B75" s="2"/>
      <c r="C75" s="2"/>
      <c r="D75" s="2"/>
      <c r="E75" s="3"/>
      <c r="F75" s="3"/>
      <c r="G75" s="4" t="str">
        <f t="shared" si="6"/>
        <v/>
      </c>
      <c r="H75" s="4" t="str">
        <f>IF(OR(E75="",F75="",F75&lt;E75),"",NETWORKDAYS.INTL(E75,F75,17,'Holiday List'!$A$4:$A$103))</f>
        <v/>
      </c>
      <c r="I75" s="5"/>
      <c r="J75" s="4" t="str">
        <f t="shared" si="7"/>
        <v/>
      </c>
      <c r="K75" s="4" t="str">
        <f t="shared" si="8"/>
        <v/>
      </c>
      <c r="L75" s="2"/>
      <c r="M75" s="2"/>
      <c r="N75" s="2"/>
    </row>
    <row r="76" spans="1:14" x14ac:dyDescent="0.3">
      <c r="A76" s="2"/>
      <c r="B76" s="2"/>
      <c r="C76" s="2"/>
      <c r="D76" s="2"/>
      <c r="E76" s="3"/>
      <c r="F76" s="3"/>
      <c r="G76" s="4" t="str">
        <f t="shared" si="6"/>
        <v/>
      </c>
      <c r="H76" s="4" t="str">
        <f>IF(OR(E76="",F76="",F76&lt;E76),"",NETWORKDAYS.INTL(E76,F76,17,'Holiday List'!$A$4:$A$103))</f>
        <v/>
      </c>
      <c r="I76" s="5"/>
      <c r="J76" s="4" t="str">
        <f t="shared" si="7"/>
        <v/>
      </c>
      <c r="K76" s="4" t="str">
        <f t="shared" si="8"/>
        <v/>
      </c>
      <c r="L76" s="2"/>
      <c r="M76" s="2"/>
      <c r="N76" s="2"/>
    </row>
    <row r="77" spans="1:14" x14ac:dyDescent="0.3">
      <c r="A77" s="2"/>
      <c r="B77" s="2"/>
      <c r="C77" s="2"/>
      <c r="D77" s="2"/>
      <c r="E77" s="3"/>
      <c r="F77" s="3"/>
      <c r="G77" s="4" t="str">
        <f t="shared" si="6"/>
        <v/>
      </c>
      <c r="H77" s="4" t="str">
        <f>IF(OR(E77="",F77="",F77&lt;E77),"",NETWORKDAYS.INTL(E77,F77,17,'Holiday List'!$A$4:$A$103))</f>
        <v/>
      </c>
      <c r="I77" s="5"/>
      <c r="J77" s="4" t="str">
        <f t="shared" si="7"/>
        <v/>
      </c>
      <c r="K77" s="4" t="str">
        <f t="shared" si="8"/>
        <v/>
      </c>
      <c r="L77" s="2"/>
      <c r="M77" s="2"/>
      <c r="N77" s="2"/>
    </row>
    <row r="78" spans="1:14" x14ac:dyDescent="0.3">
      <c r="A78" s="2"/>
      <c r="B78" s="2"/>
      <c r="C78" s="2"/>
      <c r="D78" s="2"/>
      <c r="E78" s="3"/>
      <c r="F78" s="3"/>
      <c r="G78" s="4" t="str">
        <f t="shared" si="6"/>
        <v/>
      </c>
      <c r="H78" s="4" t="str">
        <f>IF(OR(E78="",F78="",F78&lt;E78),"",NETWORKDAYS.INTL(E78,F78,17,'Holiday List'!$A$4:$A$103))</f>
        <v/>
      </c>
      <c r="I78" s="5"/>
      <c r="J78" s="4" t="str">
        <f t="shared" si="7"/>
        <v/>
      </c>
      <c r="K78" s="4" t="str">
        <f t="shared" si="8"/>
        <v/>
      </c>
      <c r="L78" s="2"/>
      <c r="M78" s="2"/>
      <c r="N78" s="2"/>
    </row>
    <row r="79" spans="1:14" x14ac:dyDescent="0.3">
      <c r="A79" s="2"/>
      <c r="B79" s="2"/>
      <c r="C79" s="2"/>
      <c r="D79" s="2"/>
      <c r="E79" s="3"/>
      <c r="F79" s="3"/>
      <c r="G79" s="4" t="str">
        <f t="shared" si="6"/>
        <v/>
      </c>
      <c r="H79" s="4" t="str">
        <f>IF(OR(E79="",F79="",F79&lt;E79),"",NETWORKDAYS.INTL(E79,F79,17,'Holiday List'!$A$4:$A$103))</f>
        <v/>
      </c>
      <c r="I79" s="5"/>
      <c r="J79" s="4" t="str">
        <f t="shared" si="7"/>
        <v/>
      </c>
      <c r="K79" s="4" t="str">
        <f t="shared" si="8"/>
        <v/>
      </c>
      <c r="L79" s="2"/>
      <c r="M79" s="2"/>
      <c r="N79" s="2"/>
    </row>
    <row r="80" spans="1:14" x14ac:dyDescent="0.3">
      <c r="A80" s="2"/>
      <c r="B80" s="2"/>
      <c r="C80" s="2"/>
      <c r="D80" s="2"/>
      <c r="E80" s="3"/>
      <c r="F80" s="3"/>
      <c r="G80" s="4" t="str">
        <f t="shared" si="6"/>
        <v/>
      </c>
      <c r="H80" s="4" t="str">
        <f>IF(OR(E80="",F80="",F80&lt;E80),"",NETWORKDAYS.INTL(E80,F80,17,'Holiday List'!$A$4:$A$103))</f>
        <v/>
      </c>
      <c r="I80" s="5"/>
      <c r="J80" s="4" t="str">
        <f t="shared" si="7"/>
        <v/>
      </c>
      <c r="K80" s="4" t="str">
        <f t="shared" si="8"/>
        <v/>
      </c>
      <c r="L80" s="2"/>
      <c r="M80" s="2"/>
      <c r="N80" s="2"/>
    </row>
    <row r="81" spans="1:14" x14ac:dyDescent="0.3">
      <c r="A81" s="2"/>
      <c r="B81" s="2"/>
      <c r="C81" s="2"/>
      <c r="D81" s="2"/>
      <c r="E81" s="3"/>
      <c r="F81" s="3"/>
      <c r="G81" s="4" t="str">
        <f t="shared" si="6"/>
        <v/>
      </c>
      <c r="H81" s="4" t="str">
        <f>IF(OR(E81="",F81="",F81&lt;E81),"",NETWORKDAYS.INTL(E81,F81,17,'Holiday List'!$A$4:$A$103))</f>
        <v/>
      </c>
      <c r="I81" s="5"/>
      <c r="J81" s="4" t="str">
        <f t="shared" si="7"/>
        <v/>
      </c>
      <c r="K81" s="4" t="str">
        <f t="shared" si="8"/>
        <v/>
      </c>
      <c r="L81" s="2"/>
      <c r="M81" s="2"/>
      <c r="N81" s="2"/>
    </row>
    <row r="82" spans="1:14" x14ac:dyDescent="0.3">
      <c r="A82" s="2"/>
      <c r="B82" s="2"/>
      <c r="C82" s="2"/>
      <c r="D82" s="2"/>
      <c r="E82" s="3"/>
      <c r="F82" s="3"/>
      <c r="G82" s="4" t="str">
        <f t="shared" si="6"/>
        <v/>
      </c>
      <c r="H82" s="4" t="str">
        <f>IF(OR(E82="",F82="",F82&lt;E82),"",NETWORKDAYS.INTL(E82,F82,17,'Holiday List'!$A$4:$A$103))</f>
        <v/>
      </c>
      <c r="I82" s="5"/>
      <c r="J82" s="4" t="str">
        <f t="shared" si="7"/>
        <v/>
      </c>
      <c r="K82" s="4" t="str">
        <f t="shared" si="8"/>
        <v/>
      </c>
      <c r="L82" s="2"/>
      <c r="M82" s="2"/>
      <c r="N82" s="2"/>
    </row>
    <row r="83" spans="1:14" x14ac:dyDescent="0.3">
      <c r="A83" s="2"/>
      <c r="B83" s="2"/>
      <c r="C83" s="2"/>
      <c r="D83" s="2"/>
      <c r="E83" s="3"/>
      <c r="F83" s="3"/>
      <c r="G83" s="4" t="str">
        <f t="shared" si="6"/>
        <v/>
      </c>
      <c r="H83" s="4" t="str">
        <f>IF(OR(E83="",F83="",F83&lt;E83),"",NETWORKDAYS.INTL(E83,F83,17,'Holiday List'!$A$4:$A$103))</f>
        <v/>
      </c>
      <c r="I83" s="5"/>
      <c r="J83" s="4" t="str">
        <f t="shared" si="7"/>
        <v/>
      </c>
      <c r="K83" s="4" t="str">
        <f t="shared" si="8"/>
        <v/>
      </c>
      <c r="L83" s="2"/>
      <c r="M83" s="2"/>
      <c r="N83" s="2"/>
    </row>
    <row r="84" spans="1:14" x14ac:dyDescent="0.3">
      <c r="A84" s="2"/>
      <c r="B84" s="2"/>
      <c r="C84" s="2"/>
      <c r="D84" s="2"/>
      <c r="E84" s="3"/>
      <c r="F84" s="3"/>
      <c r="G84" s="4" t="str">
        <f t="shared" si="6"/>
        <v/>
      </c>
      <c r="H84" s="4" t="str">
        <f>IF(OR(E84="",F84="",F84&lt;E84),"",NETWORKDAYS.INTL(E84,F84,17,'Holiday List'!$A$4:$A$103))</f>
        <v/>
      </c>
      <c r="I84" s="5"/>
      <c r="J84" s="4" t="str">
        <f t="shared" si="7"/>
        <v/>
      </c>
      <c r="K84" s="4" t="str">
        <f t="shared" si="8"/>
        <v/>
      </c>
      <c r="L84" s="2"/>
      <c r="M84" s="2"/>
      <c r="N84" s="2"/>
    </row>
    <row r="85" spans="1:14" x14ac:dyDescent="0.3">
      <c r="A85" s="2"/>
      <c r="B85" s="2"/>
      <c r="C85" s="2"/>
      <c r="D85" s="2"/>
      <c r="E85" s="3"/>
      <c r="F85" s="3"/>
      <c r="G85" s="4" t="str">
        <f t="shared" si="6"/>
        <v/>
      </c>
      <c r="H85" s="4" t="str">
        <f>IF(OR(E85="",F85="",F85&lt;E85),"",NETWORKDAYS.INTL(E85,F85,17,'Holiday List'!$A$4:$A$103))</f>
        <v/>
      </c>
      <c r="I85" s="5"/>
      <c r="J85" s="4" t="str">
        <f t="shared" si="7"/>
        <v/>
      </c>
      <c r="K85" s="4" t="str">
        <f t="shared" si="8"/>
        <v/>
      </c>
      <c r="L85" s="2"/>
      <c r="M85" s="2"/>
      <c r="N85" s="2"/>
    </row>
    <row r="86" spans="1:14" x14ac:dyDescent="0.3">
      <c r="A86" s="2"/>
      <c r="B86" s="2"/>
      <c r="C86" s="2"/>
      <c r="D86" s="2"/>
      <c r="E86" s="3"/>
      <c r="F86" s="3"/>
      <c r="G86" s="4" t="str">
        <f t="shared" si="6"/>
        <v/>
      </c>
      <c r="H86" s="4" t="str">
        <f>IF(OR(E86="",F86="",F86&lt;E86),"",NETWORKDAYS.INTL(E86,F86,17,'Holiday List'!$A$4:$A$103))</f>
        <v/>
      </c>
      <c r="I86" s="5"/>
      <c r="J86" s="4" t="str">
        <f t="shared" si="7"/>
        <v/>
      </c>
      <c r="K86" s="4" t="str">
        <f t="shared" si="8"/>
        <v/>
      </c>
      <c r="L86" s="2"/>
      <c r="M86" s="2"/>
      <c r="N86" s="2"/>
    </row>
    <row r="87" spans="1:14" x14ac:dyDescent="0.3">
      <c r="A87" s="2"/>
      <c r="B87" s="2"/>
      <c r="C87" s="2"/>
      <c r="D87" s="2"/>
      <c r="E87" s="3"/>
      <c r="F87" s="3"/>
      <c r="G87" s="4" t="str">
        <f t="shared" si="6"/>
        <v/>
      </c>
      <c r="H87" s="4" t="str">
        <f>IF(OR(E87="",F87="",F87&lt;E87),"",NETWORKDAYS.INTL(E87,F87,17,'Holiday List'!$A$4:$A$103))</f>
        <v/>
      </c>
      <c r="I87" s="5"/>
      <c r="J87" s="4" t="str">
        <f t="shared" si="7"/>
        <v/>
      </c>
      <c r="K87" s="4" t="str">
        <f t="shared" si="8"/>
        <v/>
      </c>
      <c r="L87" s="2"/>
      <c r="M87" s="2"/>
      <c r="N87" s="2"/>
    </row>
    <row r="88" spans="1:14" x14ac:dyDescent="0.3">
      <c r="A88" s="2"/>
      <c r="B88" s="2"/>
      <c r="C88" s="2"/>
      <c r="D88" s="2"/>
      <c r="E88" s="3"/>
      <c r="F88" s="3"/>
      <c r="G88" s="4" t="str">
        <f t="shared" si="6"/>
        <v/>
      </c>
      <c r="H88" s="4" t="str">
        <f>IF(OR(E88="",F88="",F88&lt;E88),"",NETWORKDAYS.INTL(E88,F88,17,'Holiday List'!$A$4:$A$103))</f>
        <v/>
      </c>
      <c r="I88" s="5"/>
      <c r="J88" s="4" t="str">
        <f t="shared" si="7"/>
        <v/>
      </c>
      <c r="K88" s="4" t="str">
        <f t="shared" si="8"/>
        <v/>
      </c>
      <c r="L88" s="2"/>
      <c r="M88" s="2"/>
      <c r="N88" s="2"/>
    </row>
    <row r="89" spans="1:14" x14ac:dyDescent="0.3">
      <c r="A89" s="2"/>
      <c r="B89" s="2"/>
      <c r="C89" s="2"/>
      <c r="D89" s="2"/>
      <c r="E89" s="3"/>
      <c r="F89" s="3"/>
      <c r="G89" s="4" t="str">
        <f t="shared" si="6"/>
        <v/>
      </c>
      <c r="H89" s="4" t="str">
        <f>IF(OR(E89="",F89="",F89&lt;E89),"",NETWORKDAYS.INTL(E89,F89,17,'Holiday List'!$A$4:$A$103))</f>
        <v/>
      </c>
      <c r="I89" s="5"/>
      <c r="J89" s="4" t="str">
        <f t="shared" si="7"/>
        <v/>
      </c>
      <c r="K89" s="4" t="str">
        <f t="shared" si="8"/>
        <v/>
      </c>
      <c r="L89" s="2"/>
      <c r="M89" s="2"/>
      <c r="N89" s="2"/>
    </row>
    <row r="90" spans="1:14" x14ac:dyDescent="0.3">
      <c r="A90" s="2"/>
      <c r="B90" s="2"/>
      <c r="C90" s="2"/>
      <c r="D90" s="2"/>
      <c r="E90" s="3"/>
      <c r="F90" s="3"/>
      <c r="G90" s="4" t="str">
        <f t="shared" si="6"/>
        <v/>
      </c>
      <c r="H90" s="4" t="str">
        <f>IF(OR(E90="",F90="",F90&lt;E90),"",NETWORKDAYS.INTL(E90,F90,17,'Holiday List'!$A$4:$A$103))</f>
        <v/>
      </c>
      <c r="I90" s="5"/>
      <c r="J90" s="4" t="str">
        <f t="shared" si="7"/>
        <v/>
      </c>
      <c r="K90" s="4" t="str">
        <f t="shared" si="8"/>
        <v/>
      </c>
      <c r="L90" s="2"/>
      <c r="M90" s="2"/>
      <c r="N90" s="2"/>
    </row>
    <row r="91" spans="1:14" x14ac:dyDescent="0.3">
      <c r="A91" s="2"/>
      <c r="B91" s="2"/>
      <c r="C91" s="2"/>
      <c r="D91" s="2"/>
      <c r="E91" s="3"/>
      <c r="F91" s="3"/>
      <c r="G91" s="4" t="str">
        <f t="shared" si="6"/>
        <v/>
      </c>
      <c r="H91" s="4" t="str">
        <f>IF(OR(E91="",F91="",F91&lt;E91),"",NETWORKDAYS.INTL(E91,F91,17,'Holiday List'!$A$4:$A$103))</f>
        <v/>
      </c>
      <c r="I91" s="5"/>
      <c r="J91" s="4" t="str">
        <f t="shared" si="7"/>
        <v/>
      </c>
      <c r="K91" s="4" t="str">
        <f t="shared" si="8"/>
        <v/>
      </c>
      <c r="L91" s="2"/>
      <c r="M91" s="2"/>
      <c r="N91" s="2"/>
    </row>
    <row r="92" spans="1:14" x14ac:dyDescent="0.3">
      <c r="A92" s="2"/>
      <c r="B92" s="2"/>
      <c r="C92" s="2"/>
      <c r="D92" s="2"/>
      <c r="E92" s="3"/>
      <c r="F92" s="3"/>
      <c r="G92" s="4" t="str">
        <f t="shared" si="6"/>
        <v/>
      </c>
      <c r="H92" s="4" t="str">
        <f>IF(OR(E92="",F92="",F92&lt;E92),"",NETWORKDAYS.INTL(E92,F92,17,'Holiday List'!$A$4:$A$103))</f>
        <v/>
      </c>
      <c r="I92" s="5"/>
      <c r="J92" s="4" t="str">
        <f t="shared" si="7"/>
        <v/>
      </c>
      <c r="K92" s="4" t="str">
        <f t="shared" si="8"/>
        <v/>
      </c>
      <c r="L92" s="2"/>
      <c r="M92" s="2"/>
      <c r="N92" s="2"/>
    </row>
    <row r="93" spans="1:14" x14ac:dyDescent="0.3">
      <c r="A93" s="2"/>
      <c r="B93" s="2"/>
      <c r="C93" s="2"/>
      <c r="D93" s="2"/>
      <c r="E93" s="3"/>
      <c r="F93" s="3"/>
      <c r="G93" s="4" t="str">
        <f t="shared" si="6"/>
        <v/>
      </c>
      <c r="H93" s="4" t="str">
        <f>IF(OR(E93="",F93="",F93&lt;E93),"",NETWORKDAYS.INTL(E93,F93,17,'Holiday List'!$A$4:$A$103))</f>
        <v/>
      </c>
      <c r="I93" s="5"/>
      <c r="J93" s="4" t="str">
        <f t="shared" si="7"/>
        <v/>
      </c>
      <c r="K93" s="4" t="str">
        <f t="shared" si="8"/>
        <v/>
      </c>
      <c r="L93" s="2"/>
      <c r="M93" s="2"/>
      <c r="N93" s="2"/>
    </row>
    <row r="94" spans="1:14" x14ac:dyDescent="0.3">
      <c r="A94" s="2"/>
      <c r="B94" s="2"/>
      <c r="C94" s="2"/>
      <c r="D94" s="2"/>
      <c r="E94" s="3"/>
      <c r="F94" s="3"/>
      <c r="G94" s="4" t="str">
        <f t="shared" si="6"/>
        <v/>
      </c>
      <c r="H94" s="4" t="str">
        <f>IF(OR(E94="",F94="",F94&lt;E94),"",NETWORKDAYS.INTL(E94,F94,17,'Holiday List'!$A$4:$A$103))</f>
        <v/>
      </c>
      <c r="I94" s="5"/>
      <c r="J94" s="4" t="str">
        <f t="shared" si="7"/>
        <v/>
      </c>
      <c r="K94" s="4" t="str">
        <f t="shared" si="8"/>
        <v/>
      </c>
      <c r="L94" s="2"/>
      <c r="M94" s="2"/>
      <c r="N94" s="2"/>
    </row>
    <row r="95" spans="1:14" x14ac:dyDescent="0.3">
      <c r="A95" s="2"/>
      <c r="B95" s="2"/>
      <c r="C95" s="2"/>
      <c r="D95" s="2"/>
      <c r="E95" s="3"/>
      <c r="F95" s="3"/>
      <c r="G95" s="4" t="str">
        <f t="shared" si="6"/>
        <v/>
      </c>
      <c r="H95" s="4" t="str">
        <f>IF(OR(E95="",F95="",F95&lt;E95),"",NETWORKDAYS.INTL(E95,F95,17,'Holiday List'!$A$4:$A$103))</f>
        <v/>
      </c>
      <c r="I95" s="5"/>
      <c r="J95" s="4" t="str">
        <f t="shared" si="7"/>
        <v/>
      </c>
      <c r="K95" s="4" t="str">
        <f t="shared" si="8"/>
        <v/>
      </c>
      <c r="L95" s="2"/>
      <c r="M95" s="2"/>
      <c r="N95" s="2"/>
    </row>
    <row r="96" spans="1:14" x14ac:dyDescent="0.3">
      <c r="A96" s="2"/>
      <c r="B96" s="2"/>
      <c r="C96" s="2"/>
      <c r="D96" s="2"/>
      <c r="E96" s="3"/>
      <c r="F96" s="3"/>
      <c r="G96" s="4" t="str">
        <f t="shared" si="6"/>
        <v/>
      </c>
      <c r="H96" s="4" t="str">
        <f>IF(OR(E96="",F96="",F96&lt;E96),"",NETWORKDAYS.INTL(E96,F96,17,'Holiday List'!$A$4:$A$103))</f>
        <v/>
      </c>
      <c r="I96" s="5"/>
      <c r="J96" s="4" t="str">
        <f t="shared" si="7"/>
        <v/>
      </c>
      <c r="K96" s="4" t="str">
        <f t="shared" si="8"/>
        <v/>
      </c>
      <c r="L96" s="2"/>
      <c r="M96" s="2"/>
      <c r="N96" s="2"/>
    </row>
    <row r="97" spans="1:14" x14ac:dyDescent="0.3">
      <c r="A97" s="2"/>
      <c r="B97" s="2"/>
      <c r="C97" s="2"/>
      <c r="D97" s="2"/>
      <c r="E97" s="3"/>
      <c r="F97" s="3"/>
      <c r="G97" s="4" t="str">
        <f t="shared" si="6"/>
        <v/>
      </c>
      <c r="H97" s="4" t="str">
        <f>IF(OR(E97="",F97="",F97&lt;E97),"",NETWORKDAYS.INTL(E97,F97,17,'Holiday List'!$A$4:$A$103))</f>
        <v/>
      </c>
      <c r="I97" s="5"/>
      <c r="J97" s="4" t="str">
        <f t="shared" si="7"/>
        <v/>
      </c>
      <c r="K97" s="4" t="str">
        <f t="shared" si="8"/>
        <v/>
      </c>
      <c r="L97" s="2"/>
      <c r="M97" s="2"/>
      <c r="N97" s="2"/>
    </row>
    <row r="98" spans="1:14" x14ac:dyDescent="0.3">
      <c r="A98" s="2"/>
      <c r="B98" s="2"/>
      <c r="C98" s="2"/>
      <c r="D98" s="2"/>
      <c r="E98" s="3"/>
      <c r="F98" s="3"/>
      <c r="G98" s="4" t="str">
        <f t="shared" si="6"/>
        <v/>
      </c>
      <c r="H98" s="4" t="str">
        <f>IF(OR(E98="",F98="",F98&lt;E98),"",NETWORKDAYS.INTL(E98,F98,17,'Holiday List'!$A$4:$A$103))</f>
        <v/>
      </c>
      <c r="I98" s="5"/>
      <c r="J98" s="4" t="str">
        <f t="shared" si="7"/>
        <v/>
      </c>
      <c r="K98" s="4" t="str">
        <f t="shared" si="8"/>
        <v/>
      </c>
      <c r="L98" s="2"/>
      <c r="M98" s="2"/>
      <c r="N98" s="2"/>
    </row>
    <row r="99" spans="1:14" x14ac:dyDescent="0.3">
      <c r="A99" s="2"/>
      <c r="B99" s="2"/>
      <c r="C99" s="2"/>
      <c r="D99" s="2"/>
      <c r="E99" s="3"/>
      <c r="F99" s="3"/>
      <c r="G99" s="4" t="str">
        <f t="shared" si="6"/>
        <v/>
      </c>
      <c r="H99" s="4" t="str">
        <f>IF(OR(E99="",F99="",F99&lt;E99),"",NETWORKDAYS.INTL(E99,F99,17,'Holiday List'!$A$4:$A$103))</f>
        <v/>
      </c>
      <c r="I99" s="5"/>
      <c r="J99" s="4" t="str">
        <f t="shared" si="7"/>
        <v/>
      </c>
      <c r="K99" s="4" t="str">
        <f t="shared" si="8"/>
        <v/>
      </c>
      <c r="L99" s="2"/>
      <c r="M99" s="2"/>
      <c r="N99" s="2"/>
    </row>
    <row r="100" spans="1:14" x14ac:dyDescent="0.3">
      <c r="A100" s="2"/>
      <c r="B100" s="2"/>
      <c r="C100" s="2"/>
      <c r="D100" s="2"/>
      <c r="E100" s="3"/>
      <c r="F100" s="3"/>
      <c r="G100" s="4" t="str">
        <f t="shared" si="6"/>
        <v/>
      </c>
      <c r="H100" s="4" t="str">
        <f>IF(OR(E100="",F100="",F100&lt;E100),"",NETWORKDAYS.INTL(E100,F100,17,'Holiday List'!$A$4:$A$103))</f>
        <v/>
      </c>
      <c r="I100" s="5"/>
      <c r="J100" s="4" t="str">
        <f t="shared" si="7"/>
        <v/>
      </c>
      <c r="K100" s="4" t="str">
        <f t="shared" si="8"/>
        <v/>
      </c>
      <c r="L100" s="2"/>
      <c r="M100" s="2"/>
      <c r="N100" s="2"/>
    </row>
    <row r="101" spans="1:14" x14ac:dyDescent="0.3">
      <c r="A101" s="2"/>
      <c r="B101" s="2"/>
      <c r="C101" s="2"/>
      <c r="D101" s="2"/>
      <c r="E101" s="3"/>
      <c r="F101" s="3"/>
      <c r="G101" s="4" t="str">
        <f t="shared" ref="G101:G132" si="9">IF(OR(E101="",F101=""),"",MAX(0,F101-E101+1))</f>
        <v/>
      </c>
      <c r="H101" s="4" t="str">
        <f>IF(OR(E101="",F101="",F101&lt;E101),"",NETWORKDAYS.INTL(E101,F101,17,'Holiday List'!$A$4:$A$103))</f>
        <v/>
      </c>
      <c r="I101" s="5"/>
      <c r="J101" s="4" t="str">
        <f t="shared" ref="J101:J132" si="10">IF(A101="","",SUMIFS($H$5:$H$204,$A$5:$A$204,A101,$L$5:$L$204,"Approved"))</f>
        <v/>
      </c>
      <c r="K101" s="4" t="str">
        <f t="shared" ref="K101:K132" si="11">IF(OR(A101="",I101=""),"",I101-J101)</f>
        <v/>
      </c>
      <c r="L101" s="2"/>
      <c r="M101" s="2"/>
      <c r="N101" s="2"/>
    </row>
    <row r="102" spans="1:14" x14ac:dyDescent="0.3">
      <c r="A102" s="2"/>
      <c r="B102" s="2"/>
      <c r="C102" s="2"/>
      <c r="D102" s="2"/>
      <c r="E102" s="3"/>
      <c r="F102" s="3"/>
      <c r="G102" s="4" t="str">
        <f t="shared" si="9"/>
        <v/>
      </c>
      <c r="H102" s="4" t="str">
        <f>IF(OR(E102="",F102="",F102&lt;E102),"",NETWORKDAYS.INTL(E102,F102,17,'Holiday List'!$A$4:$A$103))</f>
        <v/>
      </c>
      <c r="I102" s="5"/>
      <c r="J102" s="4" t="str">
        <f t="shared" si="10"/>
        <v/>
      </c>
      <c r="K102" s="4" t="str">
        <f t="shared" si="11"/>
        <v/>
      </c>
      <c r="L102" s="2"/>
      <c r="M102" s="2"/>
      <c r="N102" s="2"/>
    </row>
    <row r="103" spans="1:14" x14ac:dyDescent="0.3">
      <c r="A103" s="2"/>
      <c r="B103" s="2"/>
      <c r="C103" s="2"/>
      <c r="D103" s="2"/>
      <c r="E103" s="3"/>
      <c r="F103" s="3"/>
      <c r="G103" s="4" t="str">
        <f t="shared" si="9"/>
        <v/>
      </c>
      <c r="H103" s="4" t="str">
        <f>IF(OR(E103="",F103="",F103&lt;E103),"",NETWORKDAYS.INTL(E103,F103,17,'Holiday List'!$A$4:$A$103))</f>
        <v/>
      </c>
      <c r="I103" s="5"/>
      <c r="J103" s="4" t="str">
        <f t="shared" si="10"/>
        <v/>
      </c>
      <c r="K103" s="4" t="str">
        <f t="shared" si="11"/>
        <v/>
      </c>
      <c r="L103" s="2"/>
      <c r="M103" s="2"/>
      <c r="N103" s="2"/>
    </row>
    <row r="104" spans="1:14" x14ac:dyDescent="0.3">
      <c r="A104" s="2"/>
      <c r="B104" s="2"/>
      <c r="C104" s="2"/>
      <c r="D104" s="2"/>
      <c r="E104" s="3"/>
      <c r="F104" s="3"/>
      <c r="G104" s="4" t="str">
        <f t="shared" si="9"/>
        <v/>
      </c>
      <c r="H104" s="4" t="str">
        <f>IF(OR(E104="",F104="",F104&lt;E104),"",NETWORKDAYS.INTL(E104,F104,17,'Holiday List'!$A$4:$A$103))</f>
        <v/>
      </c>
      <c r="I104" s="5"/>
      <c r="J104" s="4" t="str">
        <f t="shared" si="10"/>
        <v/>
      </c>
      <c r="K104" s="4" t="str">
        <f t="shared" si="11"/>
        <v/>
      </c>
      <c r="L104" s="2"/>
      <c r="M104" s="2"/>
      <c r="N104" s="2"/>
    </row>
    <row r="105" spans="1:14" x14ac:dyDescent="0.3">
      <c r="A105" s="2"/>
      <c r="B105" s="2"/>
      <c r="C105" s="2"/>
      <c r="D105" s="2"/>
      <c r="E105" s="3"/>
      <c r="F105" s="3"/>
      <c r="G105" s="4" t="str">
        <f t="shared" si="9"/>
        <v/>
      </c>
      <c r="H105" s="4" t="str">
        <f>IF(OR(E105="",F105="",F105&lt;E105),"",NETWORKDAYS.INTL(E105,F105,17,'Holiday List'!$A$4:$A$103))</f>
        <v/>
      </c>
      <c r="I105" s="5"/>
      <c r="J105" s="4" t="str">
        <f t="shared" si="10"/>
        <v/>
      </c>
      <c r="K105" s="4" t="str">
        <f t="shared" si="11"/>
        <v/>
      </c>
      <c r="L105" s="2"/>
      <c r="M105" s="2"/>
      <c r="N105" s="2"/>
    </row>
    <row r="106" spans="1:14" x14ac:dyDescent="0.3">
      <c r="A106" s="2"/>
      <c r="B106" s="2"/>
      <c r="C106" s="2"/>
      <c r="D106" s="2"/>
      <c r="E106" s="3"/>
      <c r="F106" s="3"/>
      <c r="G106" s="4" t="str">
        <f t="shared" si="9"/>
        <v/>
      </c>
      <c r="H106" s="4" t="str">
        <f>IF(OR(E106="",F106="",F106&lt;E106),"",NETWORKDAYS.INTL(E106,F106,17,'Holiday List'!$A$4:$A$103))</f>
        <v/>
      </c>
      <c r="I106" s="5"/>
      <c r="J106" s="4" t="str">
        <f t="shared" si="10"/>
        <v/>
      </c>
      <c r="K106" s="4" t="str">
        <f t="shared" si="11"/>
        <v/>
      </c>
      <c r="L106" s="2"/>
      <c r="M106" s="2"/>
      <c r="N106" s="2"/>
    </row>
    <row r="107" spans="1:14" x14ac:dyDescent="0.3">
      <c r="A107" s="2"/>
      <c r="B107" s="2"/>
      <c r="C107" s="2"/>
      <c r="D107" s="2"/>
      <c r="E107" s="3"/>
      <c r="F107" s="3"/>
      <c r="G107" s="4" t="str">
        <f t="shared" si="9"/>
        <v/>
      </c>
      <c r="H107" s="4" t="str">
        <f>IF(OR(E107="",F107="",F107&lt;E107),"",NETWORKDAYS.INTL(E107,F107,17,'Holiday List'!$A$4:$A$103))</f>
        <v/>
      </c>
      <c r="I107" s="5"/>
      <c r="J107" s="4" t="str">
        <f t="shared" si="10"/>
        <v/>
      </c>
      <c r="K107" s="4" t="str">
        <f t="shared" si="11"/>
        <v/>
      </c>
      <c r="L107" s="2"/>
      <c r="M107" s="2"/>
      <c r="N107" s="2"/>
    </row>
    <row r="108" spans="1:14" x14ac:dyDescent="0.3">
      <c r="A108" s="2"/>
      <c r="B108" s="2"/>
      <c r="C108" s="2"/>
      <c r="D108" s="2"/>
      <c r="E108" s="3"/>
      <c r="F108" s="3"/>
      <c r="G108" s="4" t="str">
        <f t="shared" si="9"/>
        <v/>
      </c>
      <c r="H108" s="4" t="str">
        <f>IF(OR(E108="",F108="",F108&lt;E108),"",NETWORKDAYS.INTL(E108,F108,17,'Holiday List'!$A$4:$A$103))</f>
        <v/>
      </c>
      <c r="I108" s="5"/>
      <c r="J108" s="4" t="str">
        <f t="shared" si="10"/>
        <v/>
      </c>
      <c r="K108" s="4" t="str">
        <f t="shared" si="11"/>
        <v/>
      </c>
      <c r="L108" s="2"/>
      <c r="M108" s="2"/>
      <c r="N108" s="2"/>
    </row>
    <row r="109" spans="1:14" x14ac:dyDescent="0.3">
      <c r="A109" s="2"/>
      <c r="B109" s="2"/>
      <c r="C109" s="2"/>
      <c r="D109" s="2"/>
      <c r="E109" s="3"/>
      <c r="F109" s="3"/>
      <c r="G109" s="4" t="str">
        <f t="shared" si="9"/>
        <v/>
      </c>
      <c r="H109" s="4" t="str">
        <f>IF(OR(E109="",F109="",F109&lt;E109),"",NETWORKDAYS.INTL(E109,F109,17,'Holiday List'!$A$4:$A$103))</f>
        <v/>
      </c>
      <c r="I109" s="5"/>
      <c r="J109" s="4" t="str">
        <f t="shared" si="10"/>
        <v/>
      </c>
      <c r="K109" s="4" t="str">
        <f t="shared" si="11"/>
        <v/>
      </c>
      <c r="L109" s="2"/>
      <c r="M109" s="2"/>
      <c r="N109" s="2"/>
    </row>
    <row r="110" spans="1:14" x14ac:dyDescent="0.3">
      <c r="A110" s="2"/>
      <c r="B110" s="2"/>
      <c r="C110" s="2"/>
      <c r="D110" s="2"/>
      <c r="E110" s="3"/>
      <c r="F110" s="3"/>
      <c r="G110" s="4" t="str">
        <f t="shared" si="9"/>
        <v/>
      </c>
      <c r="H110" s="4" t="str">
        <f>IF(OR(E110="",F110="",F110&lt;E110),"",NETWORKDAYS.INTL(E110,F110,17,'Holiday List'!$A$4:$A$103))</f>
        <v/>
      </c>
      <c r="I110" s="5"/>
      <c r="J110" s="4" t="str">
        <f t="shared" si="10"/>
        <v/>
      </c>
      <c r="K110" s="4" t="str">
        <f t="shared" si="11"/>
        <v/>
      </c>
      <c r="L110" s="2"/>
      <c r="M110" s="2"/>
      <c r="N110" s="2"/>
    </row>
    <row r="111" spans="1:14" x14ac:dyDescent="0.3">
      <c r="A111" s="2"/>
      <c r="B111" s="2"/>
      <c r="C111" s="2"/>
      <c r="D111" s="2"/>
      <c r="E111" s="3"/>
      <c r="F111" s="3"/>
      <c r="G111" s="4" t="str">
        <f t="shared" si="9"/>
        <v/>
      </c>
      <c r="H111" s="4" t="str">
        <f>IF(OR(E111="",F111="",F111&lt;E111),"",NETWORKDAYS.INTL(E111,F111,17,'Holiday List'!$A$4:$A$103))</f>
        <v/>
      </c>
      <c r="I111" s="5"/>
      <c r="J111" s="4" t="str">
        <f t="shared" si="10"/>
        <v/>
      </c>
      <c r="K111" s="4" t="str">
        <f t="shared" si="11"/>
        <v/>
      </c>
      <c r="L111" s="2"/>
      <c r="M111" s="2"/>
      <c r="N111" s="2"/>
    </row>
    <row r="112" spans="1:14" x14ac:dyDescent="0.3">
      <c r="A112" s="2"/>
      <c r="B112" s="2"/>
      <c r="C112" s="2"/>
      <c r="D112" s="2"/>
      <c r="E112" s="3"/>
      <c r="F112" s="3"/>
      <c r="G112" s="4" t="str">
        <f t="shared" si="9"/>
        <v/>
      </c>
      <c r="H112" s="4" t="str">
        <f>IF(OR(E112="",F112="",F112&lt;E112),"",NETWORKDAYS.INTL(E112,F112,17,'Holiday List'!$A$4:$A$103))</f>
        <v/>
      </c>
      <c r="I112" s="5"/>
      <c r="J112" s="4" t="str">
        <f t="shared" si="10"/>
        <v/>
      </c>
      <c r="K112" s="4" t="str">
        <f t="shared" si="11"/>
        <v/>
      </c>
      <c r="L112" s="2"/>
      <c r="M112" s="2"/>
      <c r="N112" s="2"/>
    </row>
    <row r="113" spans="1:14" x14ac:dyDescent="0.3">
      <c r="A113" s="2"/>
      <c r="B113" s="2"/>
      <c r="C113" s="2"/>
      <c r="D113" s="2"/>
      <c r="E113" s="3"/>
      <c r="F113" s="3"/>
      <c r="G113" s="4" t="str">
        <f t="shared" si="9"/>
        <v/>
      </c>
      <c r="H113" s="4" t="str">
        <f>IF(OR(E113="",F113="",F113&lt;E113),"",NETWORKDAYS.INTL(E113,F113,17,'Holiday List'!$A$4:$A$103))</f>
        <v/>
      </c>
      <c r="I113" s="5"/>
      <c r="J113" s="4" t="str">
        <f t="shared" si="10"/>
        <v/>
      </c>
      <c r="K113" s="4" t="str">
        <f t="shared" si="11"/>
        <v/>
      </c>
      <c r="L113" s="2"/>
      <c r="M113" s="2"/>
      <c r="N113" s="2"/>
    </row>
    <row r="114" spans="1:14" x14ac:dyDescent="0.3">
      <c r="A114" s="2"/>
      <c r="B114" s="2"/>
      <c r="C114" s="2"/>
      <c r="D114" s="2"/>
      <c r="E114" s="3"/>
      <c r="F114" s="3"/>
      <c r="G114" s="4" t="str">
        <f t="shared" si="9"/>
        <v/>
      </c>
      <c r="H114" s="4" t="str">
        <f>IF(OR(E114="",F114="",F114&lt;E114),"",NETWORKDAYS.INTL(E114,F114,17,'Holiday List'!$A$4:$A$103))</f>
        <v/>
      </c>
      <c r="I114" s="5"/>
      <c r="J114" s="4" t="str">
        <f t="shared" si="10"/>
        <v/>
      </c>
      <c r="K114" s="4" t="str">
        <f t="shared" si="11"/>
        <v/>
      </c>
      <c r="L114" s="2"/>
      <c r="M114" s="2"/>
      <c r="N114" s="2"/>
    </row>
    <row r="115" spans="1:14" x14ac:dyDescent="0.3">
      <c r="A115" s="2"/>
      <c r="B115" s="2"/>
      <c r="C115" s="2"/>
      <c r="D115" s="2"/>
      <c r="E115" s="3"/>
      <c r="F115" s="3"/>
      <c r="G115" s="4" t="str">
        <f t="shared" si="9"/>
        <v/>
      </c>
      <c r="H115" s="4" t="str">
        <f>IF(OR(E115="",F115="",F115&lt;E115),"",NETWORKDAYS.INTL(E115,F115,17,'Holiday List'!$A$4:$A$103))</f>
        <v/>
      </c>
      <c r="I115" s="5"/>
      <c r="J115" s="4" t="str">
        <f t="shared" si="10"/>
        <v/>
      </c>
      <c r="K115" s="4" t="str">
        <f t="shared" si="11"/>
        <v/>
      </c>
      <c r="L115" s="2"/>
      <c r="M115" s="2"/>
      <c r="N115" s="2"/>
    </row>
    <row r="116" spans="1:14" x14ac:dyDescent="0.3">
      <c r="A116" s="2"/>
      <c r="B116" s="2"/>
      <c r="C116" s="2"/>
      <c r="D116" s="2"/>
      <c r="E116" s="3"/>
      <c r="F116" s="3"/>
      <c r="G116" s="4" t="str">
        <f t="shared" si="9"/>
        <v/>
      </c>
      <c r="H116" s="4" t="str">
        <f>IF(OR(E116="",F116="",F116&lt;E116),"",NETWORKDAYS.INTL(E116,F116,17,'Holiday List'!$A$4:$A$103))</f>
        <v/>
      </c>
      <c r="I116" s="5"/>
      <c r="J116" s="4" t="str">
        <f t="shared" si="10"/>
        <v/>
      </c>
      <c r="K116" s="4" t="str">
        <f t="shared" si="11"/>
        <v/>
      </c>
      <c r="L116" s="2"/>
      <c r="M116" s="2"/>
      <c r="N116" s="2"/>
    </row>
    <row r="117" spans="1:14" x14ac:dyDescent="0.3">
      <c r="A117" s="2"/>
      <c r="B117" s="2"/>
      <c r="C117" s="2"/>
      <c r="D117" s="2"/>
      <c r="E117" s="3"/>
      <c r="F117" s="3"/>
      <c r="G117" s="4" t="str">
        <f t="shared" si="9"/>
        <v/>
      </c>
      <c r="H117" s="4" t="str">
        <f>IF(OR(E117="",F117="",F117&lt;E117),"",NETWORKDAYS.INTL(E117,F117,17,'Holiday List'!$A$4:$A$103))</f>
        <v/>
      </c>
      <c r="I117" s="5"/>
      <c r="J117" s="4" t="str">
        <f t="shared" si="10"/>
        <v/>
      </c>
      <c r="K117" s="4" t="str">
        <f t="shared" si="11"/>
        <v/>
      </c>
      <c r="L117" s="2"/>
      <c r="M117" s="2"/>
      <c r="N117" s="2"/>
    </row>
    <row r="118" spans="1:14" x14ac:dyDescent="0.3">
      <c r="A118" s="2"/>
      <c r="B118" s="2"/>
      <c r="C118" s="2"/>
      <c r="D118" s="2"/>
      <c r="E118" s="3"/>
      <c r="F118" s="3"/>
      <c r="G118" s="4" t="str">
        <f t="shared" si="9"/>
        <v/>
      </c>
      <c r="H118" s="4" t="str">
        <f>IF(OR(E118="",F118="",F118&lt;E118),"",NETWORKDAYS.INTL(E118,F118,17,'Holiday List'!$A$4:$A$103))</f>
        <v/>
      </c>
      <c r="I118" s="5"/>
      <c r="J118" s="4" t="str">
        <f t="shared" si="10"/>
        <v/>
      </c>
      <c r="K118" s="4" t="str">
        <f t="shared" si="11"/>
        <v/>
      </c>
      <c r="L118" s="2"/>
      <c r="M118" s="2"/>
      <c r="N118" s="2"/>
    </row>
    <row r="119" spans="1:14" x14ac:dyDescent="0.3">
      <c r="A119" s="2"/>
      <c r="B119" s="2"/>
      <c r="C119" s="2"/>
      <c r="D119" s="2"/>
      <c r="E119" s="3"/>
      <c r="F119" s="3"/>
      <c r="G119" s="4" t="str">
        <f t="shared" si="9"/>
        <v/>
      </c>
      <c r="H119" s="4" t="str">
        <f>IF(OR(E119="",F119="",F119&lt;E119),"",NETWORKDAYS.INTL(E119,F119,17,'Holiday List'!$A$4:$A$103))</f>
        <v/>
      </c>
      <c r="I119" s="5"/>
      <c r="J119" s="4" t="str">
        <f t="shared" si="10"/>
        <v/>
      </c>
      <c r="K119" s="4" t="str">
        <f t="shared" si="11"/>
        <v/>
      </c>
      <c r="L119" s="2"/>
      <c r="M119" s="2"/>
      <c r="N119" s="2"/>
    </row>
    <row r="120" spans="1:14" x14ac:dyDescent="0.3">
      <c r="A120" s="2"/>
      <c r="B120" s="2"/>
      <c r="C120" s="2"/>
      <c r="D120" s="2"/>
      <c r="E120" s="3"/>
      <c r="F120" s="3"/>
      <c r="G120" s="4" t="str">
        <f t="shared" si="9"/>
        <v/>
      </c>
      <c r="H120" s="4" t="str">
        <f>IF(OR(E120="",F120="",F120&lt;E120),"",NETWORKDAYS.INTL(E120,F120,17,'Holiday List'!$A$4:$A$103))</f>
        <v/>
      </c>
      <c r="I120" s="5"/>
      <c r="J120" s="4" t="str">
        <f t="shared" si="10"/>
        <v/>
      </c>
      <c r="K120" s="4" t="str">
        <f t="shared" si="11"/>
        <v/>
      </c>
      <c r="L120" s="2"/>
      <c r="M120" s="2"/>
      <c r="N120" s="2"/>
    </row>
    <row r="121" spans="1:14" x14ac:dyDescent="0.3">
      <c r="A121" s="2"/>
      <c r="B121" s="2"/>
      <c r="C121" s="2"/>
      <c r="D121" s="2"/>
      <c r="E121" s="3"/>
      <c r="F121" s="3"/>
      <c r="G121" s="4" t="str">
        <f t="shared" si="9"/>
        <v/>
      </c>
      <c r="H121" s="4" t="str">
        <f>IF(OR(E121="",F121="",F121&lt;E121),"",NETWORKDAYS.INTL(E121,F121,17,'Holiday List'!$A$4:$A$103))</f>
        <v/>
      </c>
      <c r="I121" s="5"/>
      <c r="J121" s="4" t="str">
        <f t="shared" si="10"/>
        <v/>
      </c>
      <c r="K121" s="4" t="str">
        <f t="shared" si="11"/>
        <v/>
      </c>
      <c r="L121" s="2"/>
      <c r="M121" s="2"/>
      <c r="N121" s="2"/>
    </row>
    <row r="122" spans="1:14" x14ac:dyDescent="0.3">
      <c r="A122" s="2"/>
      <c r="B122" s="2"/>
      <c r="C122" s="2"/>
      <c r="D122" s="2"/>
      <c r="E122" s="3"/>
      <c r="F122" s="3"/>
      <c r="G122" s="4" t="str">
        <f t="shared" si="9"/>
        <v/>
      </c>
      <c r="H122" s="4" t="str">
        <f>IF(OR(E122="",F122="",F122&lt;E122),"",NETWORKDAYS.INTL(E122,F122,17,'Holiday List'!$A$4:$A$103))</f>
        <v/>
      </c>
      <c r="I122" s="5"/>
      <c r="J122" s="4" t="str">
        <f t="shared" si="10"/>
        <v/>
      </c>
      <c r="K122" s="4" t="str">
        <f t="shared" si="11"/>
        <v/>
      </c>
      <c r="L122" s="2"/>
      <c r="M122" s="2"/>
      <c r="N122" s="2"/>
    </row>
    <row r="123" spans="1:14" x14ac:dyDescent="0.3">
      <c r="A123" s="2"/>
      <c r="B123" s="2"/>
      <c r="C123" s="2"/>
      <c r="D123" s="2"/>
      <c r="E123" s="3"/>
      <c r="F123" s="3"/>
      <c r="G123" s="4" t="str">
        <f t="shared" si="9"/>
        <v/>
      </c>
      <c r="H123" s="4" t="str">
        <f>IF(OR(E123="",F123="",F123&lt;E123),"",NETWORKDAYS.INTL(E123,F123,17,'Holiday List'!$A$4:$A$103))</f>
        <v/>
      </c>
      <c r="I123" s="5"/>
      <c r="J123" s="4" t="str">
        <f t="shared" si="10"/>
        <v/>
      </c>
      <c r="K123" s="4" t="str">
        <f t="shared" si="11"/>
        <v/>
      </c>
      <c r="L123" s="2"/>
      <c r="M123" s="2"/>
      <c r="N123" s="2"/>
    </row>
    <row r="124" spans="1:14" x14ac:dyDescent="0.3">
      <c r="A124" s="2"/>
      <c r="B124" s="2"/>
      <c r="C124" s="2"/>
      <c r="D124" s="2"/>
      <c r="E124" s="3"/>
      <c r="F124" s="3"/>
      <c r="G124" s="4" t="str">
        <f t="shared" si="9"/>
        <v/>
      </c>
      <c r="H124" s="4" t="str">
        <f>IF(OR(E124="",F124="",F124&lt;E124),"",NETWORKDAYS.INTL(E124,F124,17,'Holiday List'!$A$4:$A$103))</f>
        <v/>
      </c>
      <c r="I124" s="5"/>
      <c r="J124" s="4" t="str">
        <f t="shared" si="10"/>
        <v/>
      </c>
      <c r="K124" s="4" t="str">
        <f t="shared" si="11"/>
        <v/>
      </c>
      <c r="L124" s="2"/>
      <c r="M124" s="2"/>
      <c r="N124" s="2"/>
    </row>
    <row r="125" spans="1:14" x14ac:dyDescent="0.3">
      <c r="A125" s="2"/>
      <c r="B125" s="2"/>
      <c r="C125" s="2"/>
      <c r="D125" s="2"/>
      <c r="E125" s="3"/>
      <c r="F125" s="3"/>
      <c r="G125" s="4" t="str">
        <f t="shared" si="9"/>
        <v/>
      </c>
      <c r="H125" s="4" t="str">
        <f>IF(OR(E125="",F125="",F125&lt;E125),"",NETWORKDAYS.INTL(E125,F125,17,'Holiday List'!$A$4:$A$103))</f>
        <v/>
      </c>
      <c r="I125" s="5"/>
      <c r="J125" s="4" t="str">
        <f t="shared" si="10"/>
        <v/>
      </c>
      <c r="K125" s="4" t="str">
        <f t="shared" si="11"/>
        <v/>
      </c>
      <c r="L125" s="2"/>
      <c r="M125" s="2"/>
      <c r="N125" s="2"/>
    </row>
    <row r="126" spans="1:14" x14ac:dyDescent="0.3">
      <c r="A126" s="2"/>
      <c r="B126" s="2"/>
      <c r="C126" s="2"/>
      <c r="D126" s="2"/>
      <c r="E126" s="3"/>
      <c r="F126" s="3"/>
      <c r="G126" s="4" t="str">
        <f t="shared" si="9"/>
        <v/>
      </c>
      <c r="H126" s="4" t="str">
        <f>IF(OR(E126="",F126="",F126&lt;E126),"",NETWORKDAYS.INTL(E126,F126,17,'Holiday List'!$A$4:$A$103))</f>
        <v/>
      </c>
      <c r="I126" s="5"/>
      <c r="J126" s="4" t="str">
        <f t="shared" si="10"/>
        <v/>
      </c>
      <c r="K126" s="4" t="str">
        <f t="shared" si="11"/>
        <v/>
      </c>
      <c r="L126" s="2"/>
      <c r="M126" s="2"/>
      <c r="N126" s="2"/>
    </row>
    <row r="127" spans="1:14" x14ac:dyDescent="0.3">
      <c r="A127" s="2"/>
      <c r="B127" s="2"/>
      <c r="C127" s="2"/>
      <c r="D127" s="2"/>
      <c r="E127" s="3"/>
      <c r="F127" s="3"/>
      <c r="G127" s="4" t="str">
        <f t="shared" si="9"/>
        <v/>
      </c>
      <c r="H127" s="4" t="str">
        <f>IF(OR(E127="",F127="",F127&lt;E127),"",NETWORKDAYS.INTL(E127,F127,17,'Holiday List'!$A$4:$A$103))</f>
        <v/>
      </c>
      <c r="I127" s="5"/>
      <c r="J127" s="4" t="str">
        <f t="shared" si="10"/>
        <v/>
      </c>
      <c r="K127" s="4" t="str">
        <f t="shared" si="11"/>
        <v/>
      </c>
      <c r="L127" s="2"/>
      <c r="M127" s="2"/>
      <c r="N127" s="2"/>
    </row>
    <row r="128" spans="1:14" x14ac:dyDescent="0.3">
      <c r="A128" s="2"/>
      <c r="B128" s="2"/>
      <c r="C128" s="2"/>
      <c r="D128" s="2"/>
      <c r="E128" s="3"/>
      <c r="F128" s="3"/>
      <c r="G128" s="4" t="str">
        <f t="shared" si="9"/>
        <v/>
      </c>
      <c r="H128" s="4" t="str">
        <f>IF(OR(E128="",F128="",F128&lt;E128),"",NETWORKDAYS.INTL(E128,F128,17,'Holiday List'!$A$4:$A$103))</f>
        <v/>
      </c>
      <c r="I128" s="5"/>
      <c r="J128" s="4" t="str">
        <f t="shared" si="10"/>
        <v/>
      </c>
      <c r="K128" s="4" t="str">
        <f t="shared" si="11"/>
        <v/>
      </c>
      <c r="L128" s="2"/>
      <c r="M128" s="2"/>
      <c r="N128" s="2"/>
    </row>
    <row r="129" spans="1:14" x14ac:dyDescent="0.3">
      <c r="A129" s="2"/>
      <c r="B129" s="2"/>
      <c r="C129" s="2"/>
      <c r="D129" s="2"/>
      <c r="E129" s="3"/>
      <c r="F129" s="3"/>
      <c r="G129" s="4" t="str">
        <f t="shared" si="9"/>
        <v/>
      </c>
      <c r="H129" s="4" t="str">
        <f>IF(OR(E129="",F129="",F129&lt;E129),"",NETWORKDAYS.INTL(E129,F129,17,'Holiday List'!$A$4:$A$103))</f>
        <v/>
      </c>
      <c r="I129" s="5"/>
      <c r="J129" s="4" t="str">
        <f t="shared" si="10"/>
        <v/>
      </c>
      <c r="K129" s="4" t="str">
        <f t="shared" si="11"/>
        <v/>
      </c>
      <c r="L129" s="2"/>
      <c r="M129" s="2"/>
      <c r="N129" s="2"/>
    </row>
    <row r="130" spans="1:14" x14ac:dyDescent="0.3">
      <c r="A130" s="2"/>
      <c r="B130" s="2"/>
      <c r="C130" s="2"/>
      <c r="D130" s="2"/>
      <c r="E130" s="3"/>
      <c r="F130" s="3"/>
      <c r="G130" s="4" t="str">
        <f t="shared" si="9"/>
        <v/>
      </c>
      <c r="H130" s="4" t="str">
        <f>IF(OR(E130="",F130="",F130&lt;E130),"",NETWORKDAYS.INTL(E130,F130,17,'Holiday List'!$A$4:$A$103))</f>
        <v/>
      </c>
      <c r="I130" s="5"/>
      <c r="J130" s="4" t="str">
        <f t="shared" si="10"/>
        <v/>
      </c>
      <c r="K130" s="4" t="str">
        <f t="shared" si="11"/>
        <v/>
      </c>
      <c r="L130" s="2"/>
      <c r="M130" s="2"/>
      <c r="N130" s="2"/>
    </row>
    <row r="131" spans="1:14" x14ac:dyDescent="0.3">
      <c r="A131" s="2"/>
      <c r="B131" s="2"/>
      <c r="C131" s="2"/>
      <c r="D131" s="2"/>
      <c r="E131" s="3"/>
      <c r="F131" s="3"/>
      <c r="G131" s="4" t="str">
        <f t="shared" si="9"/>
        <v/>
      </c>
      <c r="H131" s="4" t="str">
        <f>IF(OR(E131="",F131="",F131&lt;E131),"",NETWORKDAYS.INTL(E131,F131,17,'Holiday List'!$A$4:$A$103))</f>
        <v/>
      </c>
      <c r="I131" s="5"/>
      <c r="J131" s="4" t="str">
        <f t="shared" si="10"/>
        <v/>
      </c>
      <c r="K131" s="4" t="str">
        <f t="shared" si="11"/>
        <v/>
      </c>
      <c r="L131" s="2"/>
      <c r="M131" s="2"/>
      <c r="N131" s="2"/>
    </row>
    <row r="132" spans="1:14" x14ac:dyDescent="0.3">
      <c r="A132" s="2"/>
      <c r="B132" s="2"/>
      <c r="C132" s="2"/>
      <c r="D132" s="2"/>
      <c r="E132" s="3"/>
      <c r="F132" s="3"/>
      <c r="G132" s="4" t="str">
        <f t="shared" si="9"/>
        <v/>
      </c>
      <c r="H132" s="4" t="str">
        <f>IF(OR(E132="",F132="",F132&lt;E132),"",NETWORKDAYS.INTL(E132,F132,17,'Holiday List'!$A$4:$A$103))</f>
        <v/>
      </c>
      <c r="I132" s="5"/>
      <c r="J132" s="4" t="str">
        <f t="shared" si="10"/>
        <v/>
      </c>
      <c r="K132" s="4" t="str">
        <f t="shared" si="11"/>
        <v/>
      </c>
      <c r="L132" s="2"/>
      <c r="M132" s="2"/>
      <c r="N132" s="2"/>
    </row>
    <row r="133" spans="1:14" x14ac:dyDescent="0.3">
      <c r="A133" s="2"/>
      <c r="B133" s="2"/>
      <c r="C133" s="2"/>
      <c r="D133" s="2"/>
      <c r="E133" s="3"/>
      <c r="F133" s="3"/>
      <c r="G133" s="4" t="str">
        <f t="shared" ref="G133:G164" si="12">IF(OR(E133="",F133=""),"",MAX(0,F133-E133+1))</f>
        <v/>
      </c>
      <c r="H133" s="4" t="str">
        <f>IF(OR(E133="",F133="",F133&lt;E133),"",NETWORKDAYS.INTL(E133,F133,17,'Holiday List'!$A$4:$A$103))</f>
        <v/>
      </c>
      <c r="I133" s="5"/>
      <c r="J133" s="4" t="str">
        <f t="shared" ref="J133:J164" si="13">IF(A133="","",SUMIFS($H$5:$H$204,$A$5:$A$204,A133,$L$5:$L$204,"Approved"))</f>
        <v/>
      </c>
      <c r="K133" s="4" t="str">
        <f t="shared" ref="K133:K164" si="14">IF(OR(A133="",I133=""),"",I133-J133)</f>
        <v/>
      </c>
      <c r="L133" s="2"/>
      <c r="M133" s="2"/>
      <c r="N133" s="2"/>
    </row>
    <row r="134" spans="1:14" x14ac:dyDescent="0.3">
      <c r="A134" s="2"/>
      <c r="B134" s="2"/>
      <c r="C134" s="2"/>
      <c r="D134" s="2"/>
      <c r="E134" s="3"/>
      <c r="F134" s="3"/>
      <c r="G134" s="4" t="str">
        <f t="shared" si="12"/>
        <v/>
      </c>
      <c r="H134" s="4" t="str">
        <f>IF(OR(E134="",F134="",F134&lt;E134),"",NETWORKDAYS.INTL(E134,F134,17,'Holiday List'!$A$4:$A$103))</f>
        <v/>
      </c>
      <c r="I134" s="5"/>
      <c r="J134" s="4" t="str">
        <f t="shared" si="13"/>
        <v/>
      </c>
      <c r="K134" s="4" t="str">
        <f t="shared" si="14"/>
        <v/>
      </c>
      <c r="L134" s="2"/>
      <c r="M134" s="2"/>
      <c r="N134" s="2"/>
    </row>
    <row r="135" spans="1:14" x14ac:dyDescent="0.3">
      <c r="A135" s="2"/>
      <c r="B135" s="2"/>
      <c r="C135" s="2"/>
      <c r="D135" s="2"/>
      <c r="E135" s="3"/>
      <c r="F135" s="3"/>
      <c r="G135" s="4" t="str">
        <f t="shared" si="12"/>
        <v/>
      </c>
      <c r="H135" s="4" t="str">
        <f>IF(OR(E135="",F135="",F135&lt;E135),"",NETWORKDAYS.INTL(E135,F135,17,'Holiday List'!$A$4:$A$103))</f>
        <v/>
      </c>
      <c r="I135" s="5"/>
      <c r="J135" s="4" t="str">
        <f t="shared" si="13"/>
        <v/>
      </c>
      <c r="K135" s="4" t="str">
        <f t="shared" si="14"/>
        <v/>
      </c>
      <c r="L135" s="2"/>
      <c r="M135" s="2"/>
      <c r="N135" s="2"/>
    </row>
    <row r="136" spans="1:14" x14ac:dyDescent="0.3">
      <c r="A136" s="2"/>
      <c r="B136" s="2"/>
      <c r="C136" s="2"/>
      <c r="D136" s="2"/>
      <c r="E136" s="3"/>
      <c r="F136" s="3"/>
      <c r="G136" s="4" t="str">
        <f t="shared" si="12"/>
        <v/>
      </c>
      <c r="H136" s="4" t="str">
        <f>IF(OR(E136="",F136="",F136&lt;E136),"",NETWORKDAYS.INTL(E136,F136,17,'Holiday List'!$A$4:$A$103))</f>
        <v/>
      </c>
      <c r="I136" s="5"/>
      <c r="J136" s="4" t="str">
        <f t="shared" si="13"/>
        <v/>
      </c>
      <c r="K136" s="4" t="str">
        <f t="shared" si="14"/>
        <v/>
      </c>
      <c r="L136" s="2"/>
      <c r="M136" s="2"/>
      <c r="N136" s="2"/>
    </row>
    <row r="137" spans="1:14" x14ac:dyDescent="0.3">
      <c r="A137" s="2"/>
      <c r="B137" s="2"/>
      <c r="C137" s="2"/>
      <c r="D137" s="2"/>
      <c r="E137" s="3"/>
      <c r="F137" s="3"/>
      <c r="G137" s="4" t="str">
        <f t="shared" si="12"/>
        <v/>
      </c>
      <c r="H137" s="4" t="str">
        <f>IF(OR(E137="",F137="",F137&lt;E137),"",NETWORKDAYS.INTL(E137,F137,17,'Holiday List'!$A$4:$A$103))</f>
        <v/>
      </c>
      <c r="I137" s="5"/>
      <c r="J137" s="4" t="str">
        <f t="shared" si="13"/>
        <v/>
      </c>
      <c r="K137" s="4" t="str">
        <f t="shared" si="14"/>
        <v/>
      </c>
      <c r="L137" s="2"/>
      <c r="M137" s="2"/>
      <c r="N137" s="2"/>
    </row>
    <row r="138" spans="1:14" x14ac:dyDescent="0.3">
      <c r="A138" s="2"/>
      <c r="B138" s="2"/>
      <c r="C138" s="2"/>
      <c r="D138" s="2"/>
      <c r="E138" s="3"/>
      <c r="F138" s="3"/>
      <c r="G138" s="4" t="str">
        <f t="shared" si="12"/>
        <v/>
      </c>
      <c r="H138" s="4" t="str">
        <f>IF(OR(E138="",F138="",F138&lt;E138),"",NETWORKDAYS.INTL(E138,F138,17,'Holiday List'!$A$4:$A$103))</f>
        <v/>
      </c>
      <c r="I138" s="5"/>
      <c r="J138" s="4" t="str">
        <f t="shared" si="13"/>
        <v/>
      </c>
      <c r="K138" s="4" t="str">
        <f t="shared" si="14"/>
        <v/>
      </c>
      <c r="L138" s="2"/>
      <c r="M138" s="2"/>
      <c r="N138" s="2"/>
    </row>
    <row r="139" spans="1:14" x14ac:dyDescent="0.3">
      <c r="A139" s="2"/>
      <c r="B139" s="2"/>
      <c r="C139" s="2"/>
      <c r="D139" s="2"/>
      <c r="E139" s="3"/>
      <c r="F139" s="3"/>
      <c r="G139" s="4" t="str">
        <f t="shared" si="12"/>
        <v/>
      </c>
      <c r="H139" s="4" t="str">
        <f>IF(OR(E139="",F139="",F139&lt;E139),"",NETWORKDAYS.INTL(E139,F139,17,'Holiday List'!$A$4:$A$103))</f>
        <v/>
      </c>
      <c r="I139" s="5"/>
      <c r="J139" s="4" t="str">
        <f t="shared" si="13"/>
        <v/>
      </c>
      <c r="K139" s="4" t="str">
        <f t="shared" si="14"/>
        <v/>
      </c>
      <c r="L139" s="2"/>
      <c r="M139" s="2"/>
      <c r="N139" s="2"/>
    </row>
    <row r="140" spans="1:14" x14ac:dyDescent="0.3">
      <c r="A140" s="2"/>
      <c r="B140" s="2"/>
      <c r="C140" s="2"/>
      <c r="D140" s="2"/>
      <c r="E140" s="3"/>
      <c r="F140" s="3"/>
      <c r="G140" s="4" t="str">
        <f t="shared" si="12"/>
        <v/>
      </c>
      <c r="H140" s="4" t="str">
        <f>IF(OR(E140="",F140="",F140&lt;E140),"",NETWORKDAYS.INTL(E140,F140,17,'Holiday List'!$A$4:$A$103))</f>
        <v/>
      </c>
      <c r="I140" s="5"/>
      <c r="J140" s="4" t="str">
        <f t="shared" si="13"/>
        <v/>
      </c>
      <c r="K140" s="4" t="str">
        <f t="shared" si="14"/>
        <v/>
      </c>
      <c r="L140" s="2"/>
      <c r="M140" s="2"/>
      <c r="N140" s="2"/>
    </row>
    <row r="141" spans="1:14" x14ac:dyDescent="0.3">
      <c r="A141" s="2"/>
      <c r="B141" s="2"/>
      <c r="C141" s="2"/>
      <c r="D141" s="2"/>
      <c r="E141" s="3"/>
      <c r="F141" s="3"/>
      <c r="G141" s="4" t="str">
        <f t="shared" si="12"/>
        <v/>
      </c>
      <c r="H141" s="4" t="str">
        <f>IF(OR(E141="",F141="",F141&lt;E141),"",NETWORKDAYS.INTL(E141,F141,17,'Holiday List'!$A$4:$A$103))</f>
        <v/>
      </c>
      <c r="I141" s="5"/>
      <c r="J141" s="4" t="str">
        <f t="shared" si="13"/>
        <v/>
      </c>
      <c r="K141" s="4" t="str">
        <f t="shared" si="14"/>
        <v/>
      </c>
      <c r="L141" s="2"/>
      <c r="M141" s="2"/>
      <c r="N141" s="2"/>
    </row>
    <row r="142" spans="1:14" x14ac:dyDescent="0.3">
      <c r="A142" s="2"/>
      <c r="B142" s="2"/>
      <c r="C142" s="2"/>
      <c r="D142" s="2"/>
      <c r="E142" s="3"/>
      <c r="F142" s="3"/>
      <c r="G142" s="4" t="str">
        <f t="shared" si="12"/>
        <v/>
      </c>
      <c r="H142" s="4" t="str">
        <f>IF(OR(E142="",F142="",F142&lt;E142),"",NETWORKDAYS.INTL(E142,F142,17,'Holiday List'!$A$4:$A$103))</f>
        <v/>
      </c>
      <c r="I142" s="5"/>
      <c r="J142" s="4" t="str">
        <f t="shared" si="13"/>
        <v/>
      </c>
      <c r="K142" s="4" t="str">
        <f t="shared" si="14"/>
        <v/>
      </c>
      <c r="L142" s="2"/>
      <c r="M142" s="2"/>
      <c r="N142" s="2"/>
    </row>
    <row r="143" spans="1:14" x14ac:dyDescent="0.3">
      <c r="A143" s="2"/>
      <c r="B143" s="2"/>
      <c r="C143" s="2"/>
      <c r="D143" s="2"/>
      <c r="E143" s="3"/>
      <c r="F143" s="3"/>
      <c r="G143" s="4" t="str">
        <f t="shared" si="12"/>
        <v/>
      </c>
      <c r="H143" s="4" t="str">
        <f>IF(OR(E143="",F143="",F143&lt;E143),"",NETWORKDAYS.INTL(E143,F143,17,'Holiday List'!$A$4:$A$103))</f>
        <v/>
      </c>
      <c r="I143" s="5"/>
      <c r="J143" s="4" t="str">
        <f t="shared" si="13"/>
        <v/>
      </c>
      <c r="K143" s="4" t="str">
        <f t="shared" si="14"/>
        <v/>
      </c>
      <c r="L143" s="2"/>
      <c r="M143" s="2"/>
      <c r="N143" s="2"/>
    </row>
    <row r="144" spans="1:14" x14ac:dyDescent="0.3">
      <c r="A144" s="2"/>
      <c r="B144" s="2"/>
      <c r="C144" s="2"/>
      <c r="D144" s="2"/>
      <c r="E144" s="3"/>
      <c r="F144" s="3"/>
      <c r="G144" s="4" t="str">
        <f t="shared" si="12"/>
        <v/>
      </c>
      <c r="H144" s="4" t="str">
        <f>IF(OR(E144="",F144="",F144&lt;E144),"",NETWORKDAYS.INTL(E144,F144,17,'Holiday List'!$A$4:$A$103))</f>
        <v/>
      </c>
      <c r="I144" s="5"/>
      <c r="J144" s="4" t="str">
        <f t="shared" si="13"/>
        <v/>
      </c>
      <c r="K144" s="4" t="str">
        <f t="shared" si="14"/>
        <v/>
      </c>
      <c r="L144" s="2"/>
      <c r="M144" s="2"/>
      <c r="N144" s="2"/>
    </row>
    <row r="145" spans="1:14" x14ac:dyDescent="0.3">
      <c r="A145" s="2"/>
      <c r="B145" s="2"/>
      <c r="C145" s="2"/>
      <c r="D145" s="2"/>
      <c r="E145" s="3"/>
      <c r="F145" s="3"/>
      <c r="G145" s="4" t="str">
        <f t="shared" si="12"/>
        <v/>
      </c>
      <c r="H145" s="4" t="str">
        <f>IF(OR(E145="",F145="",F145&lt;E145),"",NETWORKDAYS.INTL(E145,F145,17,'Holiday List'!$A$4:$A$103))</f>
        <v/>
      </c>
      <c r="I145" s="5"/>
      <c r="J145" s="4" t="str">
        <f t="shared" si="13"/>
        <v/>
      </c>
      <c r="K145" s="4" t="str">
        <f t="shared" si="14"/>
        <v/>
      </c>
      <c r="L145" s="2"/>
      <c r="M145" s="2"/>
      <c r="N145" s="2"/>
    </row>
    <row r="146" spans="1:14" x14ac:dyDescent="0.3">
      <c r="A146" s="2"/>
      <c r="B146" s="2"/>
      <c r="C146" s="2"/>
      <c r="D146" s="2"/>
      <c r="E146" s="3"/>
      <c r="F146" s="3"/>
      <c r="G146" s="4" t="str">
        <f t="shared" si="12"/>
        <v/>
      </c>
      <c r="H146" s="4" t="str">
        <f>IF(OR(E146="",F146="",F146&lt;E146),"",NETWORKDAYS.INTL(E146,F146,17,'Holiday List'!$A$4:$A$103))</f>
        <v/>
      </c>
      <c r="I146" s="5"/>
      <c r="J146" s="4" t="str">
        <f t="shared" si="13"/>
        <v/>
      </c>
      <c r="K146" s="4" t="str">
        <f t="shared" si="14"/>
        <v/>
      </c>
      <c r="L146" s="2"/>
      <c r="M146" s="2"/>
      <c r="N146" s="2"/>
    </row>
    <row r="147" spans="1:14" x14ac:dyDescent="0.3">
      <c r="A147" s="2"/>
      <c r="B147" s="2"/>
      <c r="C147" s="2"/>
      <c r="D147" s="2"/>
      <c r="E147" s="3"/>
      <c r="F147" s="3"/>
      <c r="G147" s="4" t="str">
        <f t="shared" si="12"/>
        <v/>
      </c>
      <c r="H147" s="4" t="str">
        <f>IF(OR(E147="",F147="",F147&lt;E147),"",NETWORKDAYS.INTL(E147,F147,17,'Holiday List'!$A$4:$A$103))</f>
        <v/>
      </c>
      <c r="I147" s="5"/>
      <c r="J147" s="4" t="str">
        <f t="shared" si="13"/>
        <v/>
      </c>
      <c r="K147" s="4" t="str">
        <f t="shared" si="14"/>
        <v/>
      </c>
      <c r="L147" s="2"/>
      <c r="M147" s="2"/>
      <c r="N147" s="2"/>
    </row>
    <row r="148" spans="1:14" x14ac:dyDescent="0.3">
      <c r="A148" s="2"/>
      <c r="B148" s="2"/>
      <c r="C148" s="2"/>
      <c r="D148" s="2"/>
      <c r="E148" s="3"/>
      <c r="F148" s="3"/>
      <c r="G148" s="4" t="str">
        <f t="shared" si="12"/>
        <v/>
      </c>
      <c r="H148" s="4" t="str">
        <f>IF(OR(E148="",F148="",F148&lt;E148),"",NETWORKDAYS.INTL(E148,F148,17,'Holiday List'!$A$4:$A$103))</f>
        <v/>
      </c>
      <c r="I148" s="5"/>
      <c r="J148" s="4" t="str">
        <f t="shared" si="13"/>
        <v/>
      </c>
      <c r="K148" s="4" t="str">
        <f t="shared" si="14"/>
        <v/>
      </c>
      <c r="L148" s="2"/>
      <c r="M148" s="2"/>
      <c r="N148" s="2"/>
    </row>
    <row r="149" spans="1:14" x14ac:dyDescent="0.3">
      <c r="A149" s="2"/>
      <c r="B149" s="2"/>
      <c r="C149" s="2"/>
      <c r="D149" s="2"/>
      <c r="E149" s="3"/>
      <c r="F149" s="3"/>
      <c r="G149" s="4" t="str">
        <f t="shared" si="12"/>
        <v/>
      </c>
      <c r="H149" s="4" t="str">
        <f>IF(OR(E149="",F149="",F149&lt;E149),"",NETWORKDAYS.INTL(E149,F149,17,'Holiday List'!$A$4:$A$103))</f>
        <v/>
      </c>
      <c r="I149" s="5"/>
      <c r="J149" s="4" t="str">
        <f t="shared" si="13"/>
        <v/>
      </c>
      <c r="K149" s="4" t="str">
        <f t="shared" si="14"/>
        <v/>
      </c>
      <c r="L149" s="2"/>
      <c r="M149" s="2"/>
      <c r="N149" s="2"/>
    </row>
    <row r="150" spans="1:14" x14ac:dyDescent="0.3">
      <c r="A150" s="2"/>
      <c r="B150" s="2"/>
      <c r="C150" s="2"/>
      <c r="D150" s="2"/>
      <c r="E150" s="3"/>
      <c r="F150" s="3"/>
      <c r="G150" s="4" t="str">
        <f t="shared" si="12"/>
        <v/>
      </c>
      <c r="H150" s="4" t="str">
        <f>IF(OR(E150="",F150="",F150&lt;E150),"",NETWORKDAYS.INTL(E150,F150,17,'Holiday List'!$A$4:$A$103))</f>
        <v/>
      </c>
      <c r="I150" s="5"/>
      <c r="J150" s="4" t="str">
        <f t="shared" si="13"/>
        <v/>
      </c>
      <c r="K150" s="4" t="str">
        <f t="shared" si="14"/>
        <v/>
      </c>
      <c r="L150" s="2"/>
      <c r="M150" s="2"/>
      <c r="N150" s="2"/>
    </row>
    <row r="151" spans="1:14" x14ac:dyDescent="0.3">
      <c r="A151" s="2"/>
      <c r="B151" s="2"/>
      <c r="C151" s="2"/>
      <c r="D151" s="2"/>
      <c r="E151" s="3"/>
      <c r="F151" s="3"/>
      <c r="G151" s="4" t="str">
        <f t="shared" si="12"/>
        <v/>
      </c>
      <c r="H151" s="4" t="str">
        <f>IF(OR(E151="",F151="",F151&lt;E151),"",NETWORKDAYS.INTL(E151,F151,17,'Holiday List'!$A$4:$A$103))</f>
        <v/>
      </c>
      <c r="I151" s="5"/>
      <c r="J151" s="4" t="str">
        <f t="shared" si="13"/>
        <v/>
      </c>
      <c r="K151" s="4" t="str">
        <f t="shared" si="14"/>
        <v/>
      </c>
      <c r="L151" s="2"/>
      <c r="M151" s="2"/>
      <c r="N151" s="2"/>
    </row>
    <row r="152" spans="1:14" x14ac:dyDescent="0.3">
      <c r="A152" s="2"/>
      <c r="B152" s="2"/>
      <c r="C152" s="2"/>
      <c r="D152" s="2"/>
      <c r="E152" s="3"/>
      <c r="F152" s="3"/>
      <c r="G152" s="4" t="str">
        <f t="shared" si="12"/>
        <v/>
      </c>
      <c r="H152" s="4" t="str">
        <f>IF(OR(E152="",F152="",F152&lt;E152),"",NETWORKDAYS.INTL(E152,F152,17,'Holiday List'!$A$4:$A$103))</f>
        <v/>
      </c>
      <c r="I152" s="5"/>
      <c r="J152" s="4" t="str">
        <f t="shared" si="13"/>
        <v/>
      </c>
      <c r="K152" s="4" t="str">
        <f t="shared" si="14"/>
        <v/>
      </c>
      <c r="L152" s="2"/>
      <c r="M152" s="2"/>
      <c r="N152" s="2"/>
    </row>
    <row r="153" spans="1:14" x14ac:dyDescent="0.3">
      <c r="A153" s="2"/>
      <c r="B153" s="2"/>
      <c r="C153" s="2"/>
      <c r="D153" s="2"/>
      <c r="E153" s="3"/>
      <c r="F153" s="3"/>
      <c r="G153" s="4" t="str">
        <f t="shared" si="12"/>
        <v/>
      </c>
      <c r="H153" s="4" t="str">
        <f>IF(OR(E153="",F153="",F153&lt;E153),"",NETWORKDAYS.INTL(E153,F153,17,'Holiday List'!$A$4:$A$103))</f>
        <v/>
      </c>
      <c r="I153" s="5"/>
      <c r="J153" s="4" t="str">
        <f t="shared" si="13"/>
        <v/>
      </c>
      <c r="K153" s="4" t="str">
        <f t="shared" si="14"/>
        <v/>
      </c>
      <c r="L153" s="2"/>
      <c r="M153" s="2"/>
      <c r="N153" s="2"/>
    </row>
    <row r="154" spans="1:14" x14ac:dyDescent="0.3">
      <c r="A154" s="2"/>
      <c r="B154" s="2"/>
      <c r="C154" s="2"/>
      <c r="D154" s="2"/>
      <c r="E154" s="3"/>
      <c r="F154" s="3"/>
      <c r="G154" s="4" t="str">
        <f t="shared" si="12"/>
        <v/>
      </c>
      <c r="H154" s="4" t="str">
        <f>IF(OR(E154="",F154="",F154&lt;E154),"",NETWORKDAYS.INTL(E154,F154,17,'Holiday List'!$A$4:$A$103))</f>
        <v/>
      </c>
      <c r="I154" s="5"/>
      <c r="J154" s="4" t="str">
        <f t="shared" si="13"/>
        <v/>
      </c>
      <c r="K154" s="4" t="str">
        <f t="shared" si="14"/>
        <v/>
      </c>
      <c r="L154" s="2"/>
      <c r="M154" s="2"/>
      <c r="N154" s="2"/>
    </row>
    <row r="155" spans="1:14" x14ac:dyDescent="0.3">
      <c r="A155" s="2"/>
      <c r="B155" s="2"/>
      <c r="C155" s="2"/>
      <c r="D155" s="2"/>
      <c r="E155" s="3"/>
      <c r="F155" s="3"/>
      <c r="G155" s="4" t="str">
        <f t="shared" si="12"/>
        <v/>
      </c>
      <c r="H155" s="4" t="str">
        <f>IF(OR(E155="",F155="",F155&lt;E155),"",NETWORKDAYS.INTL(E155,F155,17,'Holiday List'!$A$4:$A$103))</f>
        <v/>
      </c>
      <c r="I155" s="5"/>
      <c r="J155" s="4" t="str">
        <f t="shared" si="13"/>
        <v/>
      </c>
      <c r="K155" s="4" t="str">
        <f t="shared" si="14"/>
        <v/>
      </c>
      <c r="L155" s="2"/>
      <c r="M155" s="2"/>
      <c r="N155" s="2"/>
    </row>
    <row r="156" spans="1:14" x14ac:dyDescent="0.3">
      <c r="A156" s="2"/>
      <c r="B156" s="2"/>
      <c r="C156" s="2"/>
      <c r="D156" s="2"/>
      <c r="E156" s="3"/>
      <c r="F156" s="3"/>
      <c r="G156" s="4" t="str">
        <f t="shared" si="12"/>
        <v/>
      </c>
      <c r="H156" s="4" t="str">
        <f>IF(OR(E156="",F156="",F156&lt;E156),"",NETWORKDAYS.INTL(E156,F156,17,'Holiday List'!$A$4:$A$103))</f>
        <v/>
      </c>
      <c r="I156" s="5"/>
      <c r="J156" s="4" t="str">
        <f t="shared" si="13"/>
        <v/>
      </c>
      <c r="K156" s="4" t="str">
        <f t="shared" si="14"/>
        <v/>
      </c>
      <c r="L156" s="2"/>
      <c r="M156" s="2"/>
      <c r="N156" s="2"/>
    </row>
    <row r="157" spans="1:14" x14ac:dyDescent="0.3">
      <c r="A157" s="2"/>
      <c r="B157" s="2"/>
      <c r="C157" s="2"/>
      <c r="D157" s="2"/>
      <c r="E157" s="3"/>
      <c r="F157" s="3"/>
      <c r="G157" s="4" t="str">
        <f t="shared" si="12"/>
        <v/>
      </c>
      <c r="H157" s="4" t="str">
        <f>IF(OR(E157="",F157="",F157&lt;E157),"",NETWORKDAYS.INTL(E157,F157,17,'Holiday List'!$A$4:$A$103))</f>
        <v/>
      </c>
      <c r="I157" s="5"/>
      <c r="J157" s="4" t="str">
        <f t="shared" si="13"/>
        <v/>
      </c>
      <c r="K157" s="4" t="str">
        <f t="shared" si="14"/>
        <v/>
      </c>
      <c r="L157" s="2"/>
      <c r="M157" s="2"/>
      <c r="N157" s="2"/>
    </row>
    <row r="158" spans="1:14" x14ac:dyDescent="0.3">
      <c r="A158" s="2"/>
      <c r="B158" s="2"/>
      <c r="C158" s="2"/>
      <c r="D158" s="2"/>
      <c r="E158" s="3"/>
      <c r="F158" s="3"/>
      <c r="G158" s="4" t="str">
        <f t="shared" si="12"/>
        <v/>
      </c>
      <c r="H158" s="4" t="str">
        <f>IF(OR(E158="",F158="",F158&lt;E158),"",NETWORKDAYS.INTL(E158,F158,17,'Holiday List'!$A$4:$A$103))</f>
        <v/>
      </c>
      <c r="I158" s="5"/>
      <c r="J158" s="4" t="str">
        <f t="shared" si="13"/>
        <v/>
      </c>
      <c r="K158" s="4" t="str">
        <f t="shared" si="14"/>
        <v/>
      </c>
      <c r="L158" s="2"/>
      <c r="M158" s="2"/>
      <c r="N158" s="2"/>
    </row>
    <row r="159" spans="1:14" x14ac:dyDescent="0.3">
      <c r="A159" s="2"/>
      <c r="B159" s="2"/>
      <c r="C159" s="2"/>
      <c r="D159" s="2"/>
      <c r="E159" s="3"/>
      <c r="F159" s="3"/>
      <c r="G159" s="4" t="str">
        <f t="shared" si="12"/>
        <v/>
      </c>
      <c r="H159" s="4" t="str">
        <f>IF(OR(E159="",F159="",F159&lt;E159),"",NETWORKDAYS.INTL(E159,F159,17,'Holiday List'!$A$4:$A$103))</f>
        <v/>
      </c>
      <c r="I159" s="5"/>
      <c r="J159" s="4" t="str">
        <f t="shared" si="13"/>
        <v/>
      </c>
      <c r="K159" s="4" t="str">
        <f t="shared" si="14"/>
        <v/>
      </c>
      <c r="L159" s="2"/>
      <c r="M159" s="2"/>
      <c r="N159" s="2"/>
    </row>
    <row r="160" spans="1:14" x14ac:dyDescent="0.3">
      <c r="A160" s="2"/>
      <c r="B160" s="2"/>
      <c r="C160" s="2"/>
      <c r="D160" s="2"/>
      <c r="E160" s="3"/>
      <c r="F160" s="3"/>
      <c r="G160" s="4" t="str">
        <f t="shared" si="12"/>
        <v/>
      </c>
      <c r="H160" s="4" t="str">
        <f>IF(OR(E160="",F160="",F160&lt;E160),"",NETWORKDAYS.INTL(E160,F160,17,'Holiday List'!$A$4:$A$103))</f>
        <v/>
      </c>
      <c r="I160" s="5"/>
      <c r="J160" s="4" t="str">
        <f t="shared" si="13"/>
        <v/>
      </c>
      <c r="K160" s="4" t="str">
        <f t="shared" si="14"/>
        <v/>
      </c>
      <c r="L160" s="2"/>
      <c r="M160" s="2"/>
      <c r="N160" s="2"/>
    </row>
    <row r="161" spans="1:14" x14ac:dyDescent="0.3">
      <c r="A161" s="2"/>
      <c r="B161" s="2"/>
      <c r="C161" s="2"/>
      <c r="D161" s="2"/>
      <c r="E161" s="3"/>
      <c r="F161" s="3"/>
      <c r="G161" s="4" t="str">
        <f t="shared" si="12"/>
        <v/>
      </c>
      <c r="H161" s="4" t="str">
        <f>IF(OR(E161="",F161="",F161&lt;E161),"",NETWORKDAYS.INTL(E161,F161,17,'Holiday List'!$A$4:$A$103))</f>
        <v/>
      </c>
      <c r="I161" s="5"/>
      <c r="J161" s="4" t="str">
        <f t="shared" si="13"/>
        <v/>
      </c>
      <c r="K161" s="4" t="str">
        <f t="shared" si="14"/>
        <v/>
      </c>
      <c r="L161" s="2"/>
      <c r="M161" s="2"/>
      <c r="N161" s="2"/>
    </row>
    <row r="162" spans="1:14" x14ac:dyDescent="0.3">
      <c r="A162" s="2"/>
      <c r="B162" s="2"/>
      <c r="C162" s="2"/>
      <c r="D162" s="2"/>
      <c r="E162" s="3"/>
      <c r="F162" s="3"/>
      <c r="G162" s="4" t="str">
        <f t="shared" si="12"/>
        <v/>
      </c>
      <c r="H162" s="4" t="str">
        <f>IF(OR(E162="",F162="",F162&lt;E162),"",NETWORKDAYS.INTL(E162,F162,17,'Holiday List'!$A$4:$A$103))</f>
        <v/>
      </c>
      <c r="I162" s="5"/>
      <c r="J162" s="4" t="str">
        <f t="shared" si="13"/>
        <v/>
      </c>
      <c r="K162" s="4" t="str">
        <f t="shared" si="14"/>
        <v/>
      </c>
      <c r="L162" s="2"/>
      <c r="M162" s="2"/>
      <c r="N162" s="2"/>
    </row>
    <row r="163" spans="1:14" x14ac:dyDescent="0.3">
      <c r="A163" s="2"/>
      <c r="B163" s="2"/>
      <c r="C163" s="2"/>
      <c r="D163" s="2"/>
      <c r="E163" s="3"/>
      <c r="F163" s="3"/>
      <c r="G163" s="4" t="str">
        <f t="shared" si="12"/>
        <v/>
      </c>
      <c r="H163" s="4" t="str">
        <f>IF(OR(E163="",F163="",F163&lt;E163),"",NETWORKDAYS.INTL(E163,F163,17,'Holiday List'!$A$4:$A$103))</f>
        <v/>
      </c>
      <c r="I163" s="5"/>
      <c r="J163" s="4" t="str">
        <f t="shared" si="13"/>
        <v/>
      </c>
      <c r="K163" s="4" t="str">
        <f t="shared" si="14"/>
        <v/>
      </c>
      <c r="L163" s="2"/>
      <c r="M163" s="2"/>
      <c r="N163" s="2"/>
    </row>
    <row r="164" spans="1:14" x14ac:dyDescent="0.3">
      <c r="A164" s="2"/>
      <c r="B164" s="2"/>
      <c r="C164" s="2"/>
      <c r="D164" s="2"/>
      <c r="E164" s="3"/>
      <c r="F164" s="3"/>
      <c r="G164" s="4" t="str">
        <f t="shared" si="12"/>
        <v/>
      </c>
      <c r="H164" s="4" t="str">
        <f>IF(OR(E164="",F164="",F164&lt;E164),"",NETWORKDAYS.INTL(E164,F164,17,'Holiday List'!$A$4:$A$103))</f>
        <v/>
      </c>
      <c r="I164" s="5"/>
      <c r="J164" s="4" t="str">
        <f t="shared" si="13"/>
        <v/>
      </c>
      <c r="K164" s="4" t="str">
        <f t="shared" si="14"/>
        <v/>
      </c>
      <c r="L164" s="2"/>
      <c r="M164" s="2"/>
      <c r="N164" s="2"/>
    </row>
    <row r="165" spans="1:14" x14ac:dyDescent="0.3">
      <c r="A165" s="2"/>
      <c r="B165" s="2"/>
      <c r="C165" s="2"/>
      <c r="D165" s="2"/>
      <c r="E165" s="3"/>
      <c r="F165" s="3"/>
      <c r="G165" s="4" t="str">
        <f t="shared" ref="G165:G196" si="15">IF(OR(E165="",F165=""),"",MAX(0,F165-E165+1))</f>
        <v/>
      </c>
      <c r="H165" s="4" t="str">
        <f>IF(OR(E165="",F165="",F165&lt;E165),"",NETWORKDAYS.INTL(E165,F165,17,'Holiday List'!$A$4:$A$103))</f>
        <v/>
      </c>
      <c r="I165" s="5"/>
      <c r="J165" s="4" t="str">
        <f t="shared" ref="J165:J196" si="16">IF(A165="","",SUMIFS($H$5:$H$204,$A$5:$A$204,A165,$L$5:$L$204,"Approved"))</f>
        <v/>
      </c>
      <c r="K165" s="4" t="str">
        <f t="shared" ref="K165:K196" si="17">IF(OR(A165="",I165=""),"",I165-J165)</f>
        <v/>
      </c>
      <c r="L165" s="2"/>
      <c r="M165" s="2"/>
      <c r="N165" s="2"/>
    </row>
    <row r="166" spans="1:14" x14ac:dyDescent="0.3">
      <c r="A166" s="2"/>
      <c r="B166" s="2"/>
      <c r="C166" s="2"/>
      <c r="D166" s="2"/>
      <c r="E166" s="3"/>
      <c r="F166" s="3"/>
      <c r="G166" s="4" t="str">
        <f t="shared" si="15"/>
        <v/>
      </c>
      <c r="H166" s="4" t="str">
        <f>IF(OR(E166="",F166="",F166&lt;E166),"",NETWORKDAYS.INTL(E166,F166,17,'Holiday List'!$A$4:$A$103))</f>
        <v/>
      </c>
      <c r="I166" s="5"/>
      <c r="J166" s="4" t="str">
        <f t="shared" si="16"/>
        <v/>
      </c>
      <c r="K166" s="4" t="str">
        <f t="shared" si="17"/>
        <v/>
      </c>
      <c r="L166" s="2"/>
      <c r="M166" s="2"/>
      <c r="N166" s="2"/>
    </row>
    <row r="167" spans="1:14" x14ac:dyDescent="0.3">
      <c r="A167" s="2"/>
      <c r="B167" s="2"/>
      <c r="C167" s="2"/>
      <c r="D167" s="2"/>
      <c r="E167" s="3"/>
      <c r="F167" s="3"/>
      <c r="G167" s="4" t="str">
        <f t="shared" si="15"/>
        <v/>
      </c>
      <c r="H167" s="4" t="str">
        <f>IF(OR(E167="",F167="",F167&lt;E167),"",NETWORKDAYS.INTL(E167,F167,17,'Holiday List'!$A$4:$A$103))</f>
        <v/>
      </c>
      <c r="I167" s="5"/>
      <c r="J167" s="4" t="str">
        <f t="shared" si="16"/>
        <v/>
      </c>
      <c r="K167" s="4" t="str">
        <f t="shared" si="17"/>
        <v/>
      </c>
      <c r="L167" s="2"/>
      <c r="M167" s="2"/>
      <c r="N167" s="2"/>
    </row>
    <row r="168" spans="1:14" x14ac:dyDescent="0.3">
      <c r="A168" s="2"/>
      <c r="B168" s="2"/>
      <c r="C168" s="2"/>
      <c r="D168" s="2"/>
      <c r="E168" s="3"/>
      <c r="F168" s="3"/>
      <c r="G168" s="4" t="str">
        <f t="shared" si="15"/>
        <v/>
      </c>
      <c r="H168" s="4" t="str">
        <f>IF(OR(E168="",F168="",F168&lt;E168),"",NETWORKDAYS.INTL(E168,F168,17,'Holiday List'!$A$4:$A$103))</f>
        <v/>
      </c>
      <c r="I168" s="5"/>
      <c r="J168" s="4" t="str">
        <f t="shared" si="16"/>
        <v/>
      </c>
      <c r="K168" s="4" t="str">
        <f t="shared" si="17"/>
        <v/>
      </c>
      <c r="L168" s="2"/>
      <c r="M168" s="2"/>
      <c r="N168" s="2"/>
    </row>
    <row r="169" spans="1:14" x14ac:dyDescent="0.3">
      <c r="A169" s="2"/>
      <c r="B169" s="2"/>
      <c r="C169" s="2"/>
      <c r="D169" s="2"/>
      <c r="E169" s="3"/>
      <c r="F169" s="3"/>
      <c r="G169" s="4" t="str">
        <f t="shared" si="15"/>
        <v/>
      </c>
      <c r="H169" s="4" t="str">
        <f>IF(OR(E169="",F169="",F169&lt;E169),"",NETWORKDAYS.INTL(E169,F169,17,'Holiday List'!$A$4:$A$103))</f>
        <v/>
      </c>
      <c r="I169" s="5"/>
      <c r="J169" s="4" t="str">
        <f t="shared" si="16"/>
        <v/>
      </c>
      <c r="K169" s="4" t="str">
        <f t="shared" si="17"/>
        <v/>
      </c>
      <c r="L169" s="2"/>
      <c r="M169" s="2"/>
      <c r="N169" s="2"/>
    </row>
    <row r="170" spans="1:14" x14ac:dyDescent="0.3">
      <c r="A170" s="2"/>
      <c r="B170" s="2"/>
      <c r="C170" s="2"/>
      <c r="D170" s="2"/>
      <c r="E170" s="3"/>
      <c r="F170" s="3"/>
      <c r="G170" s="4" t="str">
        <f t="shared" si="15"/>
        <v/>
      </c>
      <c r="H170" s="4" t="str">
        <f>IF(OR(E170="",F170="",F170&lt;E170),"",NETWORKDAYS.INTL(E170,F170,17,'Holiday List'!$A$4:$A$103))</f>
        <v/>
      </c>
      <c r="I170" s="5"/>
      <c r="J170" s="4" t="str">
        <f t="shared" si="16"/>
        <v/>
      </c>
      <c r="K170" s="4" t="str">
        <f t="shared" si="17"/>
        <v/>
      </c>
      <c r="L170" s="2"/>
      <c r="M170" s="2"/>
      <c r="N170" s="2"/>
    </row>
    <row r="171" spans="1:14" x14ac:dyDescent="0.3">
      <c r="A171" s="2"/>
      <c r="B171" s="2"/>
      <c r="C171" s="2"/>
      <c r="D171" s="2"/>
      <c r="E171" s="3"/>
      <c r="F171" s="3"/>
      <c r="G171" s="4" t="str">
        <f t="shared" si="15"/>
        <v/>
      </c>
      <c r="H171" s="4" t="str">
        <f>IF(OR(E171="",F171="",F171&lt;E171),"",NETWORKDAYS.INTL(E171,F171,17,'Holiday List'!$A$4:$A$103))</f>
        <v/>
      </c>
      <c r="I171" s="5"/>
      <c r="J171" s="4" t="str">
        <f t="shared" si="16"/>
        <v/>
      </c>
      <c r="K171" s="4" t="str">
        <f t="shared" si="17"/>
        <v/>
      </c>
      <c r="L171" s="2"/>
      <c r="M171" s="2"/>
      <c r="N171" s="2"/>
    </row>
    <row r="172" spans="1:14" x14ac:dyDescent="0.3">
      <c r="A172" s="2"/>
      <c r="B172" s="2"/>
      <c r="C172" s="2"/>
      <c r="D172" s="2"/>
      <c r="E172" s="3"/>
      <c r="F172" s="3"/>
      <c r="G172" s="4" t="str">
        <f t="shared" si="15"/>
        <v/>
      </c>
      <c r="H172" s="4" t="str">
        <f>IF(OR(E172="",F172="",F172&lt;E172),"",NETWORKDAYS.INTL(E172,F172,17,'Holiday List'!$A$4:$A$103))</f>
        <v/>
      </c>
      <c r="I172" s="5"/>
      <c r="J172" s="4" t="str">
        <f t="shared" si="16"/>
        <v/>
      </c>
      <c r="K172" s="4" t="str">
        <f t="shared" si="17"/>
        <v/>
      </c>
      <c r="L172" s="2"/>
      <c r="M172" s="2"/>
      <c r="N172" s="2"/>
    </row>
    <row r="173" spans="1:14" x14ac:dyDescent="0.3">
      <c r="A173" s="2"/>
      <c r="B173" s="2"/>
      <c r="C173" s="2"/>
      <c r="D173" s="2"/>
      <c r="E173" s="3"/>
      <c r="F173" s="3"/>
      <c r="G173" s="4" t="str">
        <f t="shared" si="15"/>
        <v/>
      </c>
      <c r="H173" s="4" t="str">
        <f>IF(OR(E173="",F173="",F173&lt;E173),"",NETWORKDAYS.INTL(E173,F173,17,'Holiday List'!$A$4:$A$103))</f>
        <v/>
      </c>
      <c r="I173" s="5"/>
      <c r="J173" s="4" t="str">
        <f t="shared" si="16"/>
        <v/>
      </c>
      <c r="K173" s="4" t="str">
        <f t="shared" si="17"/>
        <v/>
      </c>
      <c r="L173" s="2"/>
      <c r="M173" s="2"/>
      <c r="N173" s="2"/>
    </row>
    <row r="174" spans="1:14" x14ac:dyDescent="0.3">
      <c r="A174" s="2"/>
      <c r="B174" s="2"/>
      <c r="C174" s="2"/>
      <c r="D174" s="2"/>
      <c r="E174" s="3"/>
      <c r="F174" s="3"/>
      <c r="G174" s="4" t="str">
        <f t="shared" si="15"/>
        <v/>
      </c>
      <c r="H174" s="4" t="str">
        <f>IF(OR(E174="",F174="",F174&lt;E174),"",NETWORKDAYS.INTL(E174,F174,17,'Holiday List'!$A$4:$A$103))</f>
        <v/>
      </c>
      <c r="I174" s="5"/>
      <c r="J174" s="4" t="str">
        <f t="shared" si="16"/>
        <v/>
      </c>
      <c r="K174" s="4" t="str">
        <f t="shared" si="17"/>
        <v/>
      </c>
      <c r="L174" s="2"/>
      <c r="M174" s="2"/>
      <c r="N174" s="2"/>
    </row>
    <row r="175" spans="1:14" x14ac:dyDescent="0.3">
      <c r="A175" s="2"/>
      <c r="B175" s="2"/>
      <c r="C175" s="2"/>
      <c r="D175" s="2"/>
      <c r="E175" s="3"/>
      <c r="F175" s="3"/>
      <c r="G175" s="4" t="str">
        <f t="shared" si="15"/>
        <v/>
      </c>
      <c r="H175" s="4" t="str">
        <f>IF(OR(E175="",F175="",F175&lt;E175),"",NETWORKDAYS.INTL(E175,F175,17,'Holiday List'!$A$4:$A$103))</f>
        <v/>
      </c>
      <c r="I175" s="5"/>
      <c r="J175" s="4" t="str">
        <f t="shared" si="16"/>
        <v/>
      </c>
      <c r="K175" s="4" t="str">
        <f t="shared" si="17"/>
        <v/>
      </c>
      <c r="L175" s="2"/>
      <c r="M175" s="2"/>
      <c r="N175" s="2"/>
    </row>
    <row r="176" spans="1:14" x14ac:dyDescent="0.3">
      <c r="A176" s="2"/>
      <c r="B176" s="2"/>
      <c r="C176" s="2"/>
      <c r="D176" s="2"/>
      <c r="E176" s="3"/>
      <c r="F176" s="3"/>
      <c r="G176" s="4" t="str">
        <f t="shared" si="15"/>
        <v/>
      </c>
      <c r="H176" s="4" t="str">
        <f>IF(OR(E176="",F176="",F176&lt;E176),"",NETWORKDAYS.INTL(E176,F176,17,'Holiday List'!$A$4:$A$103))</f>
        <v/>
      </c>
      <c r="I176" s="5"/>
      <c r="J176" s="4" t="str">
        <f t="shared" si="16"/>
        <v/>
      </c>
      <c r="K176" s="4" t="str">
        <f t="shared" si="17"/>
        <v/>
      </c>
      <c r="L176" s="2"/>
      <c r="M176" s="2"/>
      <c r="N176" s="2"/>
    </row>
    <row r="177" spans="1:14" x14ac:dyDescent="0.3">
      <c r="A177" s="2"/>
      <c r="B177" s="2"/>
      <c r="C177" s="2"/>
      <c r="D177" s="2"/>
      <c r="E177" s="3"/>
      <c r="F177" s="3"/>
      <c r="G177" s="4" t="str">
        <f t="shared" si="15"/>
        <v/>
      </c>
      <c r="H177" s="4" t="str">
        <f>IF(OR(E177="",F177="",F177&lt;E177),"",NETWORKDAYS.INTL(E177,F177,17,'Holiday List'!$A$4:$A$103))</f>
        <v/>
      </c>
      <c r="I177" s="5"/>
      <c r="J177" s="4" t="str">
        <f t="shared" si="16"/>
        <v/>
      </c>
      <c r="K177" s="4" t="str">
        <f t="shared" si="17"/>
        <v/>
      </c>
      <c r="L177" s="2"/>
      <c r="M177" s="2"/>
      <c r="N177" s="2"/>
    </row>
    <row r="178" spans="1:14" x14ac:dyDescent="0.3">
      <c r="A178" s="2"/>
      <c r="B178" s="2"/>
      <c r="C178" s="2"/>
      <c r="D178" s="2"/>
      <c r="E178" s="3"/>
      <c r="F178" s="3"/>
      <c r="G178" s="4" t="str">
        <f t="shared" si="15"/>
        <v/>
      </c>
      <c r="H178" s="4" t="str">
        <f>IF(OR(E178="",F178="",F178&lt;E178),"",NETWORKDAYS.INTL(E178,F178,17,'Holiday List'!$A$4:$A$103))</f>
        <v/>
      </c>
      <c r="I178" s="5"/>
      <c r="J178" s="4" t="str">
        <f t="shared" si="16"/>
        <v/>
      </c>
      <c r="K178" s="4" t="str">
        <f t="shared" si="17"/>
        <v/>
      </c>
      <c r="L178" s="2"/>
      <c r="M178" s="2"/>
      <c r="N178" s="2"/>
    </row>
    <row r="179" spans="1:14" x14ac:dyDescent="0.3">
      <c r="A179" s="2"/>
      <c r="B179" s="2"/>
      <c r="C179" s="2"/>
      <c r="D179" s="2"/>
      <c r="E179" s="3"/>
      <c r="F179" s="3"/>
      <c r="G179" s="4" t="str">
        <f t="shared" si="15"/>
        <v/>
      </c>
      <c r="H179" s="4" t="str">
        <f>IF(OR(E179="",F179="",F179&lt;E179),"",NETWORKDAYS.INTL(E179,F179,17,'Holiday List'!$A$4:$A$103))</f>
        <v/>
      </c>
      <c r="I179" s="5"/>
      <c r="J179" s="4" t="str">
        <f t="shared" si="16"/>
        <v/>
      </c>
      <c r="K179" s="4" t="str">
        <f t="shared" si="17"/>
        <v/>
      </c>
      <c r="L179" s="2"/>
      <c r="M179" s="2"/>
      <c r="N179" s="2"/>
    </row>
    <row r="180" spans="1:14" x14ac:dyDescent="0.3">
      <c r="A180" s="2"/>
      <c r="B180" s="2"/>
      <c r="C180" s="2"/>
      <c r="D180" s="2"/>
      <c r="E180" s="3"/>
      <c r="F180" s="3"/>
      <c r="G180" s="4" t="str">
        <f t="shared" si="15"/>
        <v/>
      </c>
      <c r="H180" s="4" t="str">
        <f>IF(OR(E180="",F180="",F180&lt;E180),"",NETWORKDAYS.INTL(E180,F180,17,'Holiday List'!$A$4:$A$103))</f>
        <v/>
      </c>
      <c r="I180" s="5"/>
      <c r="J180" s="4" t="str">
        <f t="shared" si="16"/>
        <v/>
      </c>
      <c r="K180" s="4" t="str">
        <f t="shared" si="17"/>
        <v/>
      </c>
      <c r="L180" s="2"/>
      <c r="M180" s="2"/>
      <c r="N180" s="2"/>
    </row>
    <row r="181" spans="1:14" x14ac:dyDescent="0.3">
      <c r="A181" s="2"/>
      <c r="B181" s="2"/>
      <c r="C181" s="2"/>
      <c r="D181" s="2"/>
      <c r="E181" s="3"/>
      <c r="F181" s="3"/>
      <c r="G181" s="4" t="str">
        <f t="shared" si="15"/>
        <v/>
      </c>
      <c r="H181" s="4" t="str">
        <f>IF(OR(E181="",F181="",F181&lt;E181),"",NETWORKDAYS.INTL(E181,F181,17,'Holiday List'!$A$4:$A$103))</f>
        <v/>
      </c>
      <c r="I181" s="5"/>
      <c r="J181" s="4" t="str">
        <f t="shared" si="16"/>
        <v/>
      </c>
      <c r="K181" s="4" t="str">
        <f t="shared" si="17"/>
        <v/>
      </c>
      <c r="L181" s="2"/>
      <c r="M181" s="2"/>
      <c r="N181" s="2"/>
    </row>
    <row r="182" spans="1:14" x14ac:dyDescent="0.3">
      <c r="A182" s="2"/>
      <c r="B182" s="2"/>
      <c r="C182" s="2"/>
      <c r="D182" s="2"/>
      <c r="E182" s="3"/>
      <c r="F182" s="3"/>
      <c r="G182" s="4" t="str">
        <f t="shared" si="15"/>
        <v/>
      </c>
      <c r="H182" s="4" t="str">
        <f>IF(OR(E182="",F182="",F182&lt;E182),"",NETWORKDAYS.INTL(E182,F182,17,'Holiday List'!$A$4:$A$103))</f>
        <v/>
      </c>
      <c r="I182" s="5"/>
      <c r="J182" s="4" t="str">
        <f t="shared" si="16"/>
        <v/>
      </c>
      <c r="K182" s="4" t="str">
        <f t="shared" si="17"/>
        <v/>
      </c>
      <c r="L182" s="2"/>
      <c r="M182" s="2"/>
      <c r="N182" s="2"/>
    </row>
    <row r="183" spans="1:14" x14ac:dyDescent="0.3">
      <c r="A183" s="2"/>
      <c r="B183" s="2"/>
      <c r="C183" s="2"/>
      <c r="D183" s="2"/>
      <c r="E183" s="3"/>
      <c r="F183" s="3"/>
      <c r="G183" s="4" t="str">
        <f t="shared" si="15"/>
        <v/>
      </c>
      <c r="H183" s="4" t="str">
        <f>IF(OR(E183="",F183="",F183&lt;E183),"",NETWORKDAYS.INTL(E183,F183,17,'Holiday List'!$A$4:$A$103))</f>
        <v/>
      </c>
      <c r="I183" s="5"/>
      <c r="J183" s="4" t="str">
        <f t="shared" si="16"/>
        <v/>
      </c>
      <c r="K183" s="4" t="str">
        <f t="shared" si="17"/>
        <v/>
      </c>
      <c r="L183" s="2"/>
      <c r="M183" s="2"/>
      <c r="N183" s="2"/>
    </row>
    <row r="184" spans="1:14" x14ac:dyDescent="0.3">
      <c r="A184" s="2"/>
      <c r="B184" s="2"/>
      <c r="C184" s="2"/>
      <c r="D184" s="2"/>
      <c r="E184" s="3"/>
      <c r="F184" s="3"/>
      <c r="G184" s="4" t="str">
        <f t="shared" si="15"/>
        <v/>
      </c>
      <c r="H184" s="4" t="str">
        <f>IF(OR(E184="",F184="",F184&lt;E184),"",NETWORKDAYS.INTL(E184,F184,17,'Holiday List'!$A$4:$A$103))</f>
        <v/>
      </c>
      <c r="I184" s="5"/>
      <c r="J184" s="4" t="str">
        <f t="shared" si="16"/>
        <v/>
      </c>
      <c r="K184" s="4" t="str">
        <f t="shared" si="17"/>
        <v/>
      </c>
      <c r="L184" s="2"/>
      <c r="M184" s="2"/>
      <c r="N184" s="2"/>
    </row>
    <row r="185" spans="1:14" x14ac:dyDescent="0.3">
      <c r="A185" s="2"/>
      <c r="B185" s="2"/>
      <c r="C185" s="2"/>
      <c r="D185" s="2"/>
      <c r="E185" s="3"/>
      <c r="F185" s="3"/>
      <c r="G185" s="4" t="str">
        <f t="shared" si="15"/>
        <v/>
      </c>
      <c r="H185" s="4" t="str">
        <f>IF(OR(E185="",F185="",F185&lt;E185),"",NETWORKDAYS.INTL(E185,F185,17,'Holiday List'!$A$4:$A$103))</f>
        <v/>
      </c>
      <c r="I185" s="5"/>
      <c r="J185" s="4" t="str">
        <f t="shared" si="16"/>
        <v/>
      </c>
      <c r="K185" s="4" t="str">
        <f t="shared" si="17"/>
        <v/>
      </c>
      <c r="L185" s="2"/>
      <c r="M185" s="2"/>
      <c r="N185" s="2"/>
    </row>
    <row r="186" spans="1:14" x14ac:dyDescent="0.3">
      <c r="A186" s="2"/>
      <c r="B186" s="2"/>
      <c r="C186" s="2"/>
      <c r="D186" s="2"/>
      <c r="E186" s="3"/>
      <c r="F186" s="3"/>
      <c r="G186" s="4" t="str">
        <f t="shared" si="15"/>
        <v/>
      </c>
      <c r="H186" s="4" t="str">
        <f>IF(OR(E186="",F186="",F186&lt;E186),"",NETWORKDAYS.INTL(E186,F186,17,'Holiday List'!$A$4:$A$103))</f>
        <v/>
      </c>
      <c r="I186" s="5"/>
      <c r="J186" s="4" t="str">
        <f t="shared" si="16"/>
        <v/>
      </c>
      <c r="K186" s="4" t="str">
        <f t="shared" si="17"/>
        <v/>
      </c>
      <c r="L186" s="2"/>
      <c r="M186" s="2"/>
      <c r="N186" s="2"/>
    </row>
    <row r="187" spans="1:14" x14ac:dyDescent="0.3">
      <c r="A187" s="2"/>
      <c r="B187" s="2"/>
      <c r="C187" s="2"/>
      <c r="D187" s="2"/>
      <c r="E187" s="3"/>
      <c r="F187" s="3"/>
      <c r="G187" s="4" t="str">
        <f t="shared" si="15"/>
        <v/>
      </c>
      <c r="H187" s="4" t="str">
        <f>IF(OR(E187="",F187="",F187&lt;E187),"",NETWORKDAYS.INTL(E187,F187,17,'Holiday List'!$A$4:$A$103))</f>
        <v/>
      </c>
      <c r="I187" s="5"/>
      <c r="J187" s="4" t="str">
        <f t="shared" si="16"/>
        <v/>
      </c>
      <c r="K187" s="4" t="str">
        <f t="shared" si="17"/>
        <v/>
      </c>
      <c r="L187" s="2"/>
      <c r="M187" s="2"/>
      <c r="N187" s="2"/>
    </row>
    <row r="188" spans="1:14" x14ac:dyDescent="0.3">
      <c r="A188" s="2"/>
      <c r="B188" s="2"/>
      <c r="C188" s="2"/>
      <c r="D188" s="2"/>
      <c r="E188" s="3"/>
      <c r="F188" s="3"/>
      <c r="G188" s="4" t="str">
        <f t="shared" si="15"/>
        <v/>
      </c>
      <c r="H188" s="4" t="str">
        <f>IF(OR(E188="",F188="",F188&lt;E188),"",NETWORKDAYS.INTL(E188,F188,17,'Holiday List'!$A$4:$A$103))</f>
        <v/>
      </c>
      <c r="I188" s="5"/>
      <c r="J188" s="4" t="str">
        <f t="shared" si="16"/>
        <v/>
      </c>
      <c r="K188" s="4" t="str">
        <f t="shared" si="17"/>
        <v/>
      </c>
      <c r="L188" s="2"/>
      <c r="M188" s="2"/>
      <c r="N188" s="2"/>
    </row>
    <row r="189" spans="1:14" x14ac:dyDescent="0.3">
      <c r="A189" s="2"/>
      <c r="B189" s="2"/>
      <c r="C189" s="2"/>
      <c r="D189" s="2"/>
      <c r="E189" s="3"/>
      <c r="F189" s="3"/>
      <c r="G189" s="4" t="str">
        <f t="shared" si="15"/>
        <v/>
      </c>
      <c r="H189" s="4" t="str">
        <f>IF(OR(E189="",F189="",F189&lt;E189),"",NETWORKDAYS.INTL(E189,F189,17,'Holiday List'!$A$4:$A$103))</f>
        <v/>
      </c>
      <c r="I189" s="5"/>
      <c r="J189" s="4" t="str">
        <f t="shared" si="16"/>
        <v/>
      </c>
      <c r="K189" s="4" t="str">
        <f t="shared" si="17"/>
        <v/>
      </c>
      <c r="L189" s="2"/>
      <c r="M189" s="2"/>
      <c r="N189" s="2"/>
    </row>
    <row r="190" spans="1:14" x14ac:dyDescent="0.3">
      <c r="A190" s="2"/>
      <c r="B190" s="2"/>
      <c r="C190" s="2"/>
      <c r="D190" s="2"/>
      <c r="E190" s="3"/>
      <c r="F190" s="3"/>
      <c r="G190" s="4" t="str">
        <f t="shared" si="15"/>
        <v/>
      </c>
      <c r="H190" s="4" t="str">
        <f>IF(OR(E190="",F190="",F190&lt;E190),"",NETWORKDAYS.INTL(E190,F190,17,'Holiday List'!$A$4:$A$103))</f>
        <v/>
      </c>
      <c r="I190" s="5"/>
      <c r="J190" s="4" t="str">
        <f t="shared" si="16"/>
        <v/>
      </c>
      <c r="K190" s="4" t="str">
        <f t="shared" si="17"/>
        <v/>
      </c>
      <c r="L190" s="2"/>
      <c r="M190" s="2"/>
      <c r="N190" s="2"/>
    </row>
    <row r="191" spans="1:14" x14ac:dyDescent="0.3">
      <c r="A191" s="2"/>
      <c r="B191" s="2"/>
      <c r="C191" s="2"/>
      <c r="D191" s="2"/>
      <c r="E191" s="3"/>
      <c r="F191" s="3"/>
      <c r="G191" s="4" t="str">
        <f t="shared" si="15"/>
        <v/>
      </c>
      <c r="H191" s="4" t="str">
        <f>IF(OR(E191="",F191="",F191&lt;E191),"",NETWORKDAYS.INTL(E191,F191,17,'Holiday List'!$A$4:$A$103))</f>
        <v/>
      </c>
      <c r="I191" s="5"/>
      <c r="J191" s="4" t="str">
        <f t="shared" si="16"/>
        <v/>
      </c>
      <c r="K191" s="4" t="str">
        <f t="shared" si="17"/>
        <v/>
      </c>
      <c r="L191" s="2"/>
      <c r="M191" s="2"/>
      <c r="N191" s="2"/>
    </row>
    <row r="192" spans="1:14" x14ac:dyDescent="0.3">
      <c r="A192" s="2"/>
      <c r="B192" s="2"/>
      <c r="C192" s="2"/>
      <c r="D192" s="2"/>
      <c r="E192" s="3"/>
      <c r="F192" s="3"/>
      <c r="G192" s="4" t="str">
        <f t="shared" si="15"/>
        <v/>
      </c>
      <c r="H192" s="4" t="str">
        <f>IF(OR(E192="",F192="",F192&lt;E192),"",NETWORKDAYS.INTL(E192,F192,17,'Holiday List'!$A$4:$A$103))</f>
        <v/>
      </c>
      <c r="I192" s="5"/>
      <c r="J192" s="4" t="str">
        <f t="shared" si="16"/>
        <v/>
      </c>
      <c r="K192" s="4" t="str">
        <f t="shared" si="17"/>
        <v/>
      </c>
      <c r="L192" s="2"/>
      <c r="M192" s="2"/>
      <c r="N192" s="2"/>
    </row>
    <row r="193" spans="1:14" x14ac:dyDescent="0.3">
      <c r="A193" s="2"/>
      <c r="B193" s="2"/>
      <c r="C193" s="2"/>
      <c r="D193" s="2"/>
      <c r="E193" s="3"/>
      <c r="F193" s="3"/>
      <c r="G193" s="4" t="str">
        <f t="shared" si="15"/>
        <v/>
      </c>
      <c r="H193" s="4" t="str">
        <f>IF(OR(E193="",F193="",F193&lt;E193),"",NETWORKDAYS.INTL(E193,F193,17,'Holiday List'!$A$4:$A$103))</f>
        <v/>
      </c>
      <c r="I193" s="5"/>
      <c r="J193" s="4" t="str">
        <f t="shared" si="16"/>
        <v/>
      </c>
      <c r="K193" s="4" t="str">
        <f t="shared" si="17"/>
        <v/>
      </c>
      <c r="L193" s="2"/>
      <c r="M193" s="2"/>
      <c r="N193" s="2"/>
    </row>
    <row r="194" spans="1:14" x14ac:dyDescent="0.3">
      <c r="A194" s="2"/>
      <c r="B194" s="2"/>
      <c r="C194" s="2"/>
      <c r="D194" s="2"/>
      <c r="E194" s="3"/>
      <c r="F194" s="3"/>
      <c r="G194" s="4" t="str">
        <f t="shared" si="15"/>
        <v/>
      </c>
      <c r="H194" s="4" t="str">
        <f>IF(OR(E194="",F194="",F194&lt;E194),"",NETWORKDAYS.INTL(E194,F194,17,'Holiday List'!$A$4:$A$103))</f>
        <v/>
      </c>
      <c r="I194" s="5"/>
      <c r="J194" s="4" t="str">
        <f t="shared" si="16"/>
        <v/>
      </c>
      <c r="K194" s="4" t="str">
        <f t="shared" si="17"/>
        <v/>
      </c>
      <c r="L194" s="2"/>
      <c r="M194" s="2"/>
      <c r="N194" s="2"/>
    </row>
    <row r="195" spans="1:14" x14ac:dyDescent="0.3">
      <c r="A195" s="2"/>
      <c r="B195" s="2"/>
      <c r="C195" s="2"/>
      <c r="D195" s="2"/>
      <c r="E195" s="3"/>
      <c r="F195" s="3"/>
      <c r="G195" s="4" t="str">
        <f t="shared" si="15"/>
        <v/>
      </c>
      <c r="H195" s="4" t="str">
        <f>IF(OR(E195="",F195="",F195&lt;E195),"",NETWORKDAYS.INTL(E195,F195,17,'Holiday List'!$A$4:$A$103))</f>
        <v/>
      </c>
      <c r="I195" s="5"/>
      <c r="J195" s="4" t="str">
        <f t="shared" si="16"/>
        <v/>
      </c>
      <c r="K195" s="4" t="str">
        <f t="shared" si="17"/>
        <v/>
      </c>
      <c r="L195" s="2"/>
      <c r="M195" s="2"/>
      <c r="N195" s="2"/>
    </row>
    <row r="196" spans="1:14" x14ac:dyDescent="0.3">
      <c r="A196" s="2"/>
      <c r="B196" s="2"/>
      <c r="C196" s="2"/>
      <c r="D196" s="2"/>
      <c r="E196" s="3"/>
      <c r="F196" s="3"/>
      <c r="G196" s="4" t="str">
        <f t="shared" si="15"/>
        <v/>
      </c>
      <c r="H196" s="4" t="str">
        <f>IF(OR(E196="",F196="",F196&lt;E196),"",NETWORKDAYS.INTL(E196,F196,17,'Holiday List'!$A$4:$A$103))</f>
        <v/>
      </c>
      <c r="I196" s="5"/>
      <c r="J196" s="4" t="str">
        <f t="shared" si="16"/>
        <v/>
      </c>
      <c r="K196" s="4" t="str">
        <f t="shared" si="17"/>
        <v/>
      </c>
      <c r="L196" s="2"/>
      <c r="M196" s="2"/>
      <c r="N196" s="2"/>
    </row>
    <row r="197" spans="1:14" x14ac:dyDescent="0.3">
      <c r="A197" s="2"/>
      <c r="B197" s="2"/>
      <c r="C197" s="2"/>
      <c r="D197" s="2"/>
      <c r="E197" s="3"/>
      <c r="F197" s="3"/>
      <c r="G197" s="4" t="str">
        <f t="shared" ref="G197:G228" si="18">IF(OR(E197="",F197=""),"",MAX(0,F197-E197+1))</f>
        <v/>
      </c>
      <c r="H197" s="4" t="str">
        <f>IF(OR(E197="",F197="",F197&lt;E197),"",NETWORKDAYS.INTL(E197,F197,17,'Holiday List'!$A$4:$A$103))</f>
        <v/>
      </c>
      <c r="I197" s="5"/>
      <c r="J197" s="4" t="str">
        <f t="shared" ref="J197:J204" si="19">IF(A197="","",SUMIFS($H$5:$H$204,$A$5:$A$204,A197,$L$5:$L$204,"Approved"))</f>
        <v/>
      </c>
      <c r="K197" s="4" t="str">
        <f t="shared" ref="K197:K228" si="20">IF(OR(A197="",I197=""),"",I197-J197)</f>
        <v/>
      </c>
      <c r="L197" s="2"/>
      <c r="M197" s="2"/>
      <c r="N197" s="2"/>
    </row>
    <row r="198" spans="1:14" x14ac:dyDescent="0.3">
      <c r="A198" s="2"/>
      <c r="B198" s="2"/>
      <c r="C198" s="2"/>
      <c r="D198" s="2"/>
      <c r="E198" s="3"/>
      <c r="F198" s="3"/>
      <c r="G198" s="4" t="str">
        <f t="shared" si="18"/>
        <v/>
      </c>
      <c r="H198" s="4" t="str">
        <f>IF(OR(E198="",F198="",F198&lt;E198),"",NETWORKDAYS.INTL(E198,F198,17,'Holiday List'!$A$4:$A$103))</f>
        <v/>
      </c>
      <c r="I198" s="5"/>
      <c r="J198" s="4" t="str">
        <f t="shared" si="19"/>
        <v/>
      </c>
      <c r="K198" s="4" t="str">
        <f t="shared" si="20"/>
        <v/>
      </c>
      <c r="L198" s="2"/>
      <c r="M198" s="2"/>
      <c r="N198" s="2"/>
    </row>
    <row r="199" spans="1:14" x14ac:dyDescent="0.3">
      <c r="A199" s="2"/>
      <c r="B199" s="2"/>
      <c r="C199" s="2"/>
      <c r="D199" s="2"/>
      <c r="E199" s="3"/>
      <c r="F199" s="3"/>
      <c r="G199" s="4" t="str">
        <f t="shared" si="18"/>
        <v/>
      </c>
      <c r="H199" s="4" t="str">
        <f>IF(OR(E199="",F199="",F199&lt;E199),"",NETWORKDAYS.INTL(E199,F199,17,'Holiday List'!$A$4:$A$103))</f>
        <v/>
      </c>
      <c r="I199" s="5"/>
      <c r="J199" s="4" t="str">
        <f t="shared" si="19"/>
        <v/>
      </c>
      <c r="K199" s="4" t="str">
        <f t="shared" si="20"/>
        <v/>
      </c>
      <c r="L199" s="2"/>
      <c r="M199" s="2"/>
      <c r="N199" s="2"/>
    </row>
    <row r="200" spans="1:14" x14ac:dyDescent="0.3">
      <c r="A200" s="2"/>
      <c r="B200" s="2"/>
      <c r="C200" s="2"/>
      <c r="D200" s="2"/>
      <c r="E200" s="3"/>
      <c r="F200" s="3"/>
      <c r="G200" s="4" t="str">
        <f t="shared" si="18"/>
        <v/>
      </c>
      <c r="H200" s="4" t="str">
        <f>IF(OR(E200="",F200="",F200&lt;E200),"",NETWORKDAYS.INTL(E200,F200,17,'Holiday List'!$A$4:$A$103))</f>
        <v/>
      </c>
      <c r="I200" s="5"/>
      <c r="J200" s="4" t="str">
        <f t="shared" si="19"/>
        <v/>
      </c>
      <c r="K200" s="4" t="str">
        <f t="shared" si="20"/>
        <v/>
      </c>
      <c r="L200" s="2"/>
      <c r="M200" s="2"/>
      <c r="N200" s="2"/>
    </row>
    <row r="201" spans="1:14" x14ac:dyDescent="0.3">
      <c r="A201" s="2"/>
      <c r="B201" s="2"/>
      <c r="C201" s="2"/>
      <c r="D201" s="2"/>
      <c r="E201" s="3"/>
      <c r="F201" s="3"/>
      <c r="G201" s="4" t="str">
        <f t="shared" si="18"/>
        <v/>
      </c>
      <c r="H201" s="4" t="str">
        <f>IF(OR(E201="",F201="",F201&lt;E201),"",NETWORKDAYS.INTL(E201,F201,17,'Holiday List'!$A$4:$A$103))</f>
        <v/>
      </c>
      <c r="I201" s="5"/>
      <c r="J201" s="4" t="str">
        <f t="shared" si="19"/>
        <v/>
      </c>
      <c r="K201" s="4" t="str">
        <f t="shared" si="20"/>
        <v/>
      </c>
      <c r="L201" s="2"/>
      <c r="M201" s="2"/>
      <c r="N201" s="2"/>
    </row>
    <row r="202" spans="1:14" x14ac:dyDescent="0.3">
      <c r="A202" s="2"/>
      <c r="B202" s="2"/>
      <c r="C202" s="2"/>
      <c r="D202" s="2"/>
      <c r="E202" s="3"/>
      <c r="F202" s="3"/>
      <c r="G202" s="4" t="str">
        <f t="shared" si="18"/>
        <v/>
      </c>
      <c r="H202" s="4" t="str">
        <f>IF(OR(E202="",F202="",F202&lt;E202),"",NETWORKDAYS.INTL(E202,F202,17,'Holiday List'!$A$4:$A$103))</f>
        <v/>
      </c>
      <c r="I202" s="5"/>
      <c r="J202" s="4" t="str">
        <f t="shared" si="19"/>
        <v/>
      </c>
      <c r="K202" s="4" t="str">
        <f t="shared" si="20"/>
        <v/>
      </c>
      <c r="L202" s="2"/>
      <c r="M202" s="2"/>
      <c r="N202" s="2"/>
    </row>
    <row r="203" spans="1:14" x14ac:dyDescent="0.3">
      <c r="A203" s="2"/>
      <c r="B203" s="2"/>
      <c r="C203" s="2"/>
      <c r="D203" s="2"/>
      <c r="E203" s="3"/>
      <c r="F203" s="3"/>
      <c r="G203" s="4" t="str">
        <f t="shared" si="18"/>
        <v/>
      </c>
      <c r="H203" s="4" t="str">
        <f>IF(OR(E203="",F203="",F203&lt;E203),"",NETWORKDAYS.INTL(E203,F203,17,'Holiday List'!$A$4:$A$103))</f>
        <v/>
      </c>
      <c r="I203" s="5"/>
      <c r="J203" s="4" t="str">
        <f t="shared" si="19"/>
        <v/>
      </c>
      <c r="K203" s="4" t="str">
        <f t="shared" si="20"/>
        <v/>
      </c>
      <c r="L203" s="2"/>
      <c r="M203" s="2"/>
      <c r="N203" s="2"/>
    </row>
    <row r="204" spans="1:14" x14ac:dyDescent="0.3">
      <c r="A204" s="2"/>
      <c r="B204" s="2"/>
      <c r="C204" s="2"/>
      <c r="D204" s="2"/>
      <c r="E204" s="3"/>
      <c r="F204" s="3"/>
      <c r="G204" s="4" t="str">
        <f t="shared" si="18"/>
        <v/>
      </c>
      <c r="H204" s="4" t="str">
        <f>IF(OR(E204="",F204="",F204&lt;E204),"",NETWORKDAYS.INTL(E204,F204,17,'Holiday List'!$A$4:$A$103))</f>
        <v/>
      </c>
      <c r="I204" s="5"/>
      <c r="J204" s="4" t="str">
        <f t="shared" si="19"/>
        <v/>
      </c>
      <c r="K204" s="4" t="str">
        <f t="shared" si="20"/>
        <v/>
      </c>
      <c r="L204" s="2"/>
      <c r="M204" s="2"/>
      <c r="N204" s="2"/>
    </row>
  </sheetData>
  <autoFilter ref="A4:N204" xr:uid="{00000000-0009-0000-0000-000000000000}"/>
  <mergeCells count="2">
    <mergeCell ref="A2:N2"/>
    <mergeCell ref="A1:N1"/>
  </mergeCells>
  <conditionalFormatting sqref="K5:K204">
    <cfRule type="cellIs" dxfId="1" priority="1" operator="lessThan">
      <formula>0</formula>
    </cfRule>
  </conditionalFormatting>
  <conditionalFormatting sqref="L5:L204">
    <cfRule type="cellIs" dxfId="0" priority="2" operator="equal">
      <formula>"Approved"</formula>
    </cfRule>
  </conditionalFormatting>
  <dataValidations count="3">
    <dataValidation type="list" allowBlank="1" sqref="D5:D204" xr:uid="{00000000-0002-0000-0000-000000000000}">
      <formula1>"Vacation,Sick,Personal,Emergency,Unpaid,Other"</formula1>
    </dataValidation>
    <dataValidation type="list" allowBlank="1" sqref="L5:L204" xr:uid="{00000000-0002-0000-0000-000001000000}">
      <formula1>"Pending,Approved,Rejected"</formula1>
    </dataValidation>
    <dataValidation type="date" allowBlank="1" sqref="E5:F204" xr:uid="{00000000-0002-0000-0000-000002000000}">
      <formula1>DATE(2020,1,1)</formula1>
      <formula2>DATE(2100,12,31)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3"/>
  <sheetViews>
    <sheetView showGridLines="0" workbookViewId="0">
      <pane ySplit="3" topLeftCell="A4" activePane="bottomLeft" state="frozen"/>
      <selection pane="bottomLeft" activeCell="A3" sqref="A3:C3"/>
    </sheetView>
  </sheetViews>
  <sheetFormatPr defaultRowHeight="14.4" x14ac:dyDescent="0.3"/>
  <cols>
    <col min="1" max="1" width="18" customWidth="1"/>
    <col min="2" max="2" width="30" customWidth="1"/>
    <col min="3" max="3" width="35" customWidth="1"/>
  </cols>
  <sheetData>
    <row r="1" spans="1:3" ht="21" x14ac:dyDescent="0.4">
      <c r="A1" s="11" t="s">
        <v>16</v>
      </c>
      <c r="B1" s="12"/>
      <c r="C1" s="12"/>
    </row>
    <row r="3" spans="1:3" x14ac:dyDescent="0.3">
      <c r="A3" s="13" t="s">
        <v>17</v>
      </c>
      <c r="B3" s="13" t="s">
        <v>18</v>
      </c>
      <c r="C3" s="13" t="s">
        <v>19</v>
      </c>
    </row>
    <row r="4" spans="1:3" x14ac:dyDescent="0.3">
      <c r="A4" s="3"/>
      <c r="B4" s="2"/>
      <c r="C4" s="2"/>
    </row>
    <row r="5" spans="1:3" x14ac:dyDescent="0.3">
      <c r="A5" s="3"/>
      <c r="B5" s="2"/>
      <c r="C5" s="2"/>
    </row>
    <row r="6" spans="1:3" x14ac:dyDescent="0.3">
      <c r="A6" s="3"/>
      <c r="B6" s="2"/>
      <c r="C6" s="2"/>
    </row>
    <row r="7" spans="1:3" x14ac:dyDescent="0.3">
      <c r="A7" s="3"/>
      <c r="B7" s="2"/>
      <c r="C7" s="2"/>
    </row>
    <row r="8" spans="1:3" x14ac:dyDescent="0.3">
      <c r="A8" s="3"/>
      <c r="B8" s="2"/>
      <c r="C8" s="2"/>
    </row>
    <row r="9" spans="1:3" x14ac:dyDescent="0.3">
      <c r="A9" s="3"/>
      <c r="B9" s="2"/>
      <c r="C9" s="2"/>
    </row>
    <row r="10" spans="1:3" x14ac:dyDescent="0.3">
      <c r="A10" s="3"/>
      <c r="B10" s="2"/>
      <c r="C10" s="2"/>
    </row>
    <row r="11" spans="1:3" x14ac:dyDescent="0.3">
      <c r="A11" s="3"/>
      <c r="B11" s="2"/>
      <c r="C11" s="2"/>
    </row>
    <row r="12" spans="1:3" x14ac:dyDescent="0.3">
      <c r="A12" s="3"/>
      <c r="B12" s="2"/>
      <c r="C12" s="2"/>
    </row>
    <row r="13" spans="1:3" x14ac:dyDescent="0.3">
      <c r="A13" s="3"/>
      <c r="B13" s="2"/>
      <c r="C13" s="2"/>
    </row>
    <row r="14" spans="1:3" x14ac:dyDescent="0.3">
      <c r="A14" s="3"/>
      <c r="B14" s="2"/>
      <c r="C14" s="2"/>
    </row>
    <row r="15" spans="1:3" x14ac:dyDescent="0.3">
      <c r="A15" s="3"/>
      <c r="B15" s="2"/>
      <c r="C15" s="2"/>
    </row>
    <row r="16" spans="1:3" x14ac:dyDescent="0.3">
      <c r="A16" s="3"/>
      <c r="B16" s="2"/>
      <c r="C16" s="2"/>
    </row>
    <row r="17" spans="1:3" x14ac:dyDescent="0.3">
      <c r="A17" s="3"/>
      <c r="B17" s="2"/>
      <c r="C17" s="2"/>
    </row>
    <row r="18" spans="1:3" x14ac:dyDescent="0.3">
      <c r="A18" s="3"/>
      <c r="B18" s="2"/>
      <c r="C18" s="2"/>
    </row>
    <row r="19" spans="1:3" x14ac:dyDescent="0.3">
      <c r="A19" s="3"/>
      <c r="B19" s="2"/>
      <c r="C19" s="2"/>
    </row>
    <row r="20" spans="1:3" x14ac:dyDescent="0.3">
      <c r="A20" s="3"/>
      <c r="B20" s="2"/>
      <c r="C20" s="2"/>
    </row>
    <row r="21" spans="1:3" x14ac:dyDescent="0.3">
      <c r="A21" s="3"/>
      <c r="B21" s="2"/>
      <c r="C21" s="2"/>
    </row>
    <row r="22" spans="1:3" x14ac:dyDescent="0.3">
      <c r="A22" s="3"/>
      <c r="B22" s="2"/>
      <c r="C22" s="2"/>
    </row>
    <row r="23" spans="1:3" x14ac:dyDescent="0.3">
      <c r="A23" s="3"/>
      <c r="B23" s="2"/>
      <c r="C23" s="2"/>
    </row>
    <row r="24" spans="1:3" x14ac:dyDescent="0.3">
      <c r="A24" s="3"/>
      <c r="B24" s="2"/>
      <c r="C24" s="2"/>
    </row>
    <row r="25" spans="1:3" x14ac:dyDescent="0.3">
      <c r="A25" s="3"/>
      <c r="B25" s="2"/>
      <c r="C25" s="2"/>
    </row>
    <row r="26" spans="1:3" x14ac:dyDescent="0.3">
      <c r="A26" s="3"/>
      <c r="B26" s="2"/>
      <c r="C26" s="2"/>
    </row>
    <row r="27" spans="1:3" x14ac:dyDescent="0.3">
      <c r="A27" s="3"/>
      <c r="B27" s="2"/>
      <c r="C27" s="2"/>
    </row>
    <row r="28" spans="1:3" x14ac:dyDescent="0.3">
      <c r="A28" s="3"/>
      <c r="B28" s="2"/>
      <c r="C28" s="2"/>
    </row>
    <row r="29" spans="1:3" x14ac:dyDescent="0.3">
      <c r="A29" s="3"/>
      <c r="B29" s="2"/>
      <c r="C29" s="2"/>
    </row>
    <row r="30" spans="1:3" x14ac:dyDescent="0.3">
      <c r="A30" s="3"/>
      <c r="B30" s="2"/>
      <c r="C30" s="2"/>
    </row>
    <row r="31" spans="1:3" x14ac:dyDescent="0.3">
      <c r="A31" s="3"/>
      <c r="B31" s="2"/>
      <c r="C31" s="2"/>
    </row>
    <row r="32" spans="1:3" x14ac:dyDescent="0.3">
      <c r="A32" s="3"/>
      <c r="B32" s="2"/>
      <c r="C32" s="2"/>
    </row>
    <row r="33" spans="1:3" x14ac:dyDescent="0.3">
      <c r="A33" s="3"/>
      <c r="B33" s="2"/>
      <c r="C33" s="2"/>
    </row>
    <row r="34" spans="1:3" x14ac:dyDescent="0.3">
      <c r="A34" s="3"/>
      <c r="B34" s="2"/>
      <c r="C34" s="2"/>
    </row>
    <row r="35" spans="1:3" x14ac:dyDescent="0.3">
      <c r="A35" s="3"/>
      <c r="B35" s="2"/>
      <c r="C35" s="2"/>
    </row>
    <row r="36" spans="1:3" x14ac:dyDescent="0.3">
      <c r="A36" s="3"/>
      <c r="B36" s="2"/>
      <c r="C36" s="2"/>
    </row>
    <row r="37" spans="1:3" x14ac:dyDescent="0.3">
      <c r="A37" s="3"/>
      <c r="B37" s="2"/>
      <c r="C37" s="2"/>
    </row>
    <row r="38" spans="1:3" x14ac:dyDescent="0.3">
      <c r="A38" s="3"/>
      <c r="B38" s="2"/>
      <c r="C38" s="2"/>
    </row>
    <row r="39" spans="1:3" x14ac:dyDescent="0.3">
      <c r="A39" s="3"/>
      <c r="B39" s="2"/>
      <c r="C39" s="2"/>
    </row>
    <row r="40" spans="1:3" x14ac:dyDescent="0.3">
      <c r="A40" s="3"/>
      <c r="B40" s="2"/>
      <c r="C40" s="2"/>
    </row>
    <row r="41" spans="1:3" x14ac:dyDescent="0.3">
      <c r="A41" s="3"/>
      <c r="B41" s="2"/>
      <c r="C41" s="2"/>
    </row>
    <row r="42" spans="1:3" x14ac:dyDescent="0.3">
      <c r="A42" s="3"/>
      <c r="B42" s="2"/>
      <c r="C42" s="2"/>
    </row>
    <row r="43" spans="1:3" x14ac:dyDescent="0.3">
      <c r="A43" s="3"/>
      <c r="B43" s="2"/>
      <c r="C43" s="2"/>
    </row>
    <row r="44" spans="1:3" x14ac:dyDescent="0.3">
      <c r="A44" s="3"/>
      <c r="B44" s="2"/>
      <c r="C44" s="2"/>
    </row>
    <row r="45" spans="1:3" x14ac:dyDescent="0.3">
      <c r="A45" s="3"/>
      <c r="B45" s="2"/>
      <c r="C45" s="2"/>
    </row>
    <row r="46" spans="1:3" x14ac:dyDescent="0.3">
      <c r="A46" s="3"/>
      <c r="B46" s="2"/>
      <c r="C46" s="2"/>
    </row>
    <row r="47" spans="1:3" x14ac:dyDescent="0.3">
      <c r="A47" s="3"/>
      <c r="B47" s="2"/>
      <c r="C47" s="2"/>
    </row>
    <row r="48" spans="1:3" x14ac:dyDescent="0.3">
      <c r="A48" s="3"/>
      <c r="B48" s="2"/>
      <c r="C48" s="2"/>
    </row>
    <row r="49" spans="1:3" x14ac:dyDescent="0.3">
      <c r="A49" s="3"/>
      <c r="B49" s="2"/>
      <c r="C49" s="2"/>
    </row>
    <row r="50" spans="1:3" x14ac:dyDescent="0.3">
      <c r="A50" s="3"/>
      <c r="B50" s="2"/>
      <c r="C50" s="2"/>
    </row>
    <row r="51" spans="1:3" x14ac:dyDescent="0.3">
      <c r="A51" s="3"/>
      <c r="B51" s="2"/>
      <c r="C51" s="2"/>
    </row>
    <row r="52" spans="1:3" x14ac:dyDescent="0.3">
      <c r="A52" s="3"/>
      <c r="B52" s="2"/>
      <c r="C52" s="2"/>
    </row>
    <row r="53" spans="1:3" x14ac:dyDescent="0.3">
      <c r="A53" s="3"/>
      <c r="B53" s="2"/>
      <c r="C53" s="2"/>
    </row>
    <row r="54" spans="1:3" x14ac:dyDescent="0.3">
      <c r="A54" s="3"/>
      <c r="B54" s="2"/>
      <c r="C54" s="2"/>
    </row>
    <row r="55" spans="1:3" x14ac:dyDescent="0.3">
      <c r="A55" s="3"/>
      <c r="B55" s="2"/>
      <c r="C55" s="2"/>
    </row>
    <row r="56" spans="1:3" x14ac:dyDescent="0.3">
      <c r="A56" s="3"/>
      <c r="B56" s="2"/>
      <c r="C56" s="2"/>
    </row>
    <row r="57" spans="1:3" x14ac:dyDescent="0.3">
      <c r="A57" s="3"/>
      <c r="B57" s="2"/>
      <c r="C57" s="2"/>
    </row>
    <row r="58" spans="1:3" x14ac:dyDescent="0.3">
      <c r="A58" s="3"/>
      <c r="B58" s="2"/>
      <c r="C58" s="2"/>
    </row>
    <row r="59" spans="1:3" x14ac:dyDescent="0.3">
      <c r="A59" s="3"/>
      <c r="B59" s="2"/>
      <c r="C59" s="2"/>
    </row>
    <row r="60" spans="1:3" x14ac:dyDescent="0.3">
      <c r="A60" s="3"/>
      <c r="B60" s="2"/>
      <c r="C60" s="2"/>
    </row>
    <row r="61" spans="1:3" x14ac:dyDescent="0.3">
      <c r="A61" s="3"/>
      <c r="B61" s="2"/>
      <c r="C61" s="2"/>
    </row>
    <row r="62" spans="1:3" x14ac:dyDescent="0.3">
      <c r="A62" s="3"/>
      <c r="B62" s="2"/>
      <c r="C62" s="2"/>
    </row>
    <row r="63" spans="1:3" x14ac:dyDescent="0.3">
      <c r="A63" s="3"/>
      <c r="B63" s="2"/>
      <c r="C63" s="2"/>
    </row>
    <row r="64" spans="1:3" x14ac:dyDescent="0.3">
      <c r="A64" s="3"/>
      <c r="B64" s="2"/>
      <c r="C64" s="2"/>
    </row>
    <row r="65" spans="1:3" x14ac:dyDescent="0.3">
      <c r="A65" s="3"/>
      <c r="B65" s="2"/>
      <c r="C65" s="2"/>
    </row>
    <row r="66" spans="1:3" x14ac:dyDescent="0.3">
      <c r="A66" s="3"/>
      <c r="B66" s="2"/>
      <c r="C66" s="2"/>
    </row>
    <row r="67" spans="1:3" x14ac:dyDescent="0.3">
      <c r="A67" s="3"/>
      <c r="B67" s="2"/>
      <c r="C67" s="2"/>
    </row>
    <row r="68" spans="1:3" x14ac:dyDescent="0.3">
      <c r="A68" s="3"/>
      <c r="B68" s="2"/>
      <c r="C68" s="2"/>
    </row>
    <row r="69" spans="1:3" x14ac:dyDescent="0.3">
      <c r="A69" s="3"/>
      <c r="B69" s="2"/>
      <c r="C69" s="2"/>
    </row>
    <row r="70" spans="1:3" x14ac:dyDescent="0.3">
      <c r="A70" s="3"/>
      <c r="B70" s="2"/>
      <c r="C70" s="2"/>
    </row>
    <row r="71" spans="1:3" x14ac:dyDescent="0.3">
      <c r="A71" s="3"/>
      <c r="B71" s="2"/>
      <c r="C71" s="2"/>
    </row>
    <row r="72" spans="1:3" x14ac:dyDescent="0.3">
      <c r="A72" s="3"/>
      <c r="B72" s="2"/>
      <c r="C72" s="2"/>
    </row>
    <row r="73" spans="1:3" x14ac:dyDescent="0.3">
      <c r="A73" s="3"/>
      <c r="B73" s="2"/>
      <c r="C73" s="2"/>
    </row>
    <row r="74" spans="1:3" x14ac:dyDescent="0.3">
      <c r="A74" s="3"/>
      <c r="B74" s="2"/>
      <c r="C74" s="2"/>
    </row>
    <row r="75" spans="1:3" x14ac:dyDescent="0.3">
      <c r="A75" s="3"/>
      <c r="B75" s="2"/>
      <c r="C75" s="2"/>
    </row>
    <row r="76" spans="1:3" x14ac:dyDescent="0.3">
      <c r="A76" s="3"/>
      <c r="B76" s="2"/>
      <c r="C76" s="2"/>
    </row>
    <row r="77" spans="1:3" x14ac:dyDescent="0.3">
      <c r="A77" s="3"/>
      <c r="B77" s="2"/>
      <c r="C77" s="2"/>
    </row>
    <row r="78" spans="1:3" x14ac:dyDescent="0.3">
      <c r="A78" s="3"/>
      <c r="B78" s="2"/>
      <c r="C78" s="2"/>
    </row>
    <row r="79" spans="1:3" x14ac:dyDescent="0.3">
      <c r="A79" s="3"/>
      <c r="B79" s="2"/>
      <c r="C79" s="2"/>
    </row>
    <row r="80" spans="1:3" x14ac:dyDescent="0.3">
      <c r="A80" s="3"/>
      <c r="B80" s="2"/>
      <c r="C80" s="2"/>
    </row>
    <row r="81" spans="1:3" x14ac:dyDescent="0.3">
      <c r="A81" s="3"/>
      <c r="B81" s="2"/>
      <c r="C81" s="2"/>
    </row>
    <row r="82" spans="1:3" x14ac:dyDescent="0.3">
      <c r="A82" s="3"/>
      <c r="B82" s="2"/>
      <c r="C82" s="2"/>
    </row>
    <row r="83" spans="1:3" x14ac:dyDescent="0.3">
      <c r="A83" s="3"/>
      <c r="B83" s="2"/>
      <c r="C83" s="2"/>
    </row>
    <row r="84" spans="1:3" x14ac:dyDescent="0.3">
      <c r="A84" s="3"/>
      <c r="B84" s="2"/>
      <c r="C84" s="2"/>
    </row>
    <row r="85" spans="1:3" x14ac:dyDescent="0.3">
      <c r="A85" s="3"/>
      <c r="B85" s="2"/>
      <c r="C85" s="2"/>
    </row>
    <row r="86" spans="1:3" x14ac:dyDescent="0.3">
      <c r="A86" s="3"/>
      <c r="B86" s="2"/>
      <c r="C86" s="2"/>
    </row>
    <row r="87" spans="1:3" x14ac:dyDescent="0.3">
      <c r="A87" s="3"/>
      <c r="B87" s="2"/>
      <c r="C87" s="2"/>
    </row>
    <row r="88" spans="1:3" x14ac:dyDescent="0.3">
      <c r="A88" s="3"/>
      <c r="B88" s="2"/>
      <c r="C88" s="2"/>
    </row>
    <row r="89" spans="1:3" x14ac:dyDescent="0.3">
      <c r="A89" s="3"/>
      <c r="B89" s="2"/>
      <c r="C89" s="2"/>
    </row>
    <row r="90" spans="1:3" x14ac:dyDescent="0.3">
      <c r="A90" s="3"/>
      <c r="B90" s="2"/>
      <c r="C90" s="2"/>
    </row>
    <row r="91" spans="1:3" x14ac:dyDescent="0.3">
      <c r="A91" s="3"/>
      <c r="B91" s="2"/>
      <c r="C91" s="2"/>
    </row>
    <row r="92" spans="1:3" x14ac:dyDescent="0.3">
      <c r="A92" s="3"/>
      <c r="B92" s="2"/>
      <c r="C92" s="2"/>
    </row>
    <row r="93" spans="1:3" x14ac:dyDescent="0.3">
      <c r="A93" s="3"/>
      <c r="B93" s="2"/>
      <c r="C93" s="2"/>
    </row>
    <row r="94" spans="1:3" x14ac:dyDescent="0.3">
      <c r="A94" s="3"/>
      <c r="B94" s="2"/>
      <c r="C94" s="2"/>
    </row>
    <row r="95" spans="1:3" x14ac:dyDescent="0.3">
      <c r="A95" s="3"/>
      <c r="B95" s="2"/>
      <c r="C95" s="2"/>
    </row>
    <row r="96" spans="1:3" x14ac:dyDescent="0.3">
      <c r="A96" s="3"/>
      <c r="B96" s="2"/>
      <c r="C96" s="2"/>
    </row>
    <row r="97" spans="1:3" x14ac:dyDescent="0.3">
      <c r="A97" s="3"/>
      <c r="B97" s="2"/>
      <c r="C97" s="2"/>
    </row>
    <row r="98" spans="1:3" x14ac:dyDescent="0.3">
      <c r="A98" s="3"/>
      <c r="B98" s="2"/>
      <c r="C98" s="2"/>
    </row>
    <row r="99" spans="1:3" x14ac:dyDescent="0.3">
      <c r="A99" s="3"/>
      <c r="B99" s="2"/>
      <c r="C99" s="2"/>
    </row>
    <row r="100" spans="1:3" x14ac:dyDescent="0.3">
      <c r="A100" s="3"/>
      <c r="B100" s="2"/>
      <c r="C100" s="2"/>
    </row>
    <row r="101" spans="1:3" x14ac:dyDescent="0.3">
      <c r="A101" s="3"/>
      <c r="B101" s="2"/>
      <c r="C101" s="2"/>
    </row>
    <row r="102" spans="1:3" x14ac:dyDescent="0.3">
      <c r="A102" s="3"/>
      <c r="B102" s="2"/>
      <c r="C102" s="2"/>
    </row>
    <row r="103" spans="1:3" x14ac:dyDescent="0.3">
      <c r="A103" s="3"/>
      <c r="B103" s="2"/>
      <c r="C103" s="2"/>
    </row>
  </sheetData>
  <autoFilter ref="A3:C103" xr:uid="{00000000-0009-0000-0000-000001000000}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workbookViewId="0">
      <selection sqref="A1:D1"/>
    </sheetView>
  </sheetViews>
  <sheetFormatPr defaultRowHeight="14.4" x14ac:dyDescent="0.3"/>
  <cols>
    <col min="1" max="1" width="32" customWidth="1"/>
    <col min="2" max="2" width="24" customWidth="1"/>
    <col min="3" max="4" width="18" customWidth="1"/>
  </cols>
  <sheetData>
    <row r="1" spans="1:4" ht="22.2" x14ac:dyDescent="0.45">
      <c r="A1" s="19" t="s">
        <v>20</v>
      </c>
      <c r="B1" s="20"/>
      <c r="C1" s="20"/>
      <c r="D1" s="20"/>
    </row>
    <row r="3" spans="1:4" ht="27" customHeight="1" x14ac:dyDescent="0.35">
      <c r="A3" s="14" t="s">
        <v>21</v>
      </c>
      <c r="B3" s="15">
        <f>COUNTA('Leave Tracker'!A5:A204)</f>
        <v>1</v>
      </c>
    </row>
    <row r="4" spans="1:4" ht="27" customHeight="1" x14ac:dyDescent="0.35">
      <c r="A4" s="14" t="s">
        <v>22</v>
      </c>
      <c r="B4" s="15">
        <f>COUNTIF('Leave Tracker'!L5:L204,"Pending")</f>
        <v>0</v>
      </c>
    </row>
    <row r="5" spans="1:4" ht="27" customHeight="1" x14ac:dyDescent="0.35">
      <c r="A5" s="14" t="s">
        <v>23</v>
      </c>
      <c r="B5" s="15">
        <f>COUNTIF('Leave Tracker'!L5:L204,"Approved")</f>
        <v>0</v>
      </c>
    </row>
    <row r="6" spans="1:4" ht="27" customHeight="1" x14ac:dyDescent="0.35">
      <c r="A6" s="14" t="s">
        <v>24</v>
      </c>
      <c r="B6" s="15">
        <f>COUNTIF('Leave Tracker'!L5:L204,"Rejected")</f>
        <v>0</v>
      </c>
    </row>
    <row r="7" spans="1:4" ht="27" customHeight="1" x14ac:dyDescent="0.35">
      <c r="A7" s="14" t="s">
        <v>25</v>
      </c>
      <c r="B7" s="15">
        <f>SUMIF('Leave Tracker'!L5:L204,"Approved",'Leave Tracker'!H5:H204)</f>
        <v>0</v>
      </c>
    </row>
    <row r="10" spans="1:4" x14ac:dyDescent="0.3">
      <c r="A10" s="6" t="s">
        <v>26</v>
      </c>
      <c r="B10" s="16" t="s">
        <v>27</v>
      </c>
      <c r="C10" s="17"/>
      <c r="D10" s="18"/>
    </row>
  </sheetData>
  <mergeCells count="2">
    <mergeCell ref="B10:D10"/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showGridLines="0" workbookViewId="0">
      <selection sqref="A1:B12"/>
    </sheetView>
  </sheetViews>
  <sheetFormatPr defaultRowHeight="14.4" x14ac:dyDescent="0.3"/>
  <cols>
    <col min="1" max="1" width="8" customWidth="1"/>
    <col min="2" max="2" width="105" customWidth="1"/>
  </cols>
  <sheetData>
    <row r="1" spans="1:2" ht="21" x14ac:dyDescent="0.4">
      <c r="A1" s="21" t="s">
        <v>28</v>
      </c>
      <c r="B1" s="22"/>
    </row>
    <row r="2" spans="1:2" x14ac:dyDescent="0.3">
      <c r="A2" s="23"/>
      <c r="B2" s="24"/>
    </row>
    <row r="3" spans="1:2" ht="31.95" customHeight="1" x14ac:dyDescent="0.3">
      <c r="A3" s="25" t="s">
        <v>29</v>
      </c>
      <c r="B3" s="26" t="s">
        <v>30</v>
      </c>
    </row>
    <row r="4" spans="1:2" ht="31.95" customHeight="1" x14ac:dyDescent="0.3">
      <c r="A4" s="25" t="s">
        <v>31</v>
      </c>
      <c r="B4" s="26" t="s">
        <v>32</v>
      </c>
    </row>
    <row r="5" spans="1:2" ht="31.95" customHeight="1" x14ac:dyDescent="0.3">
      <c r="A5" s="25" t="s">
        <v>33</v>
      </c>
      <c r="B5" s="26" t="s">
        <v>34</v>
      </c>
    </row>
    <row r="6" spans="1:2" ht="31.95" customHeight="1" x14ac:dyDescent="0.3">
      <c r="A6" s="25" t="s">
        <v>35</v>
      </c>
      <c r="B6" s="26" t="s">
        <v>36</v>
      </c>
    </row>
    <row r="7" spans="1:2" ht="31.95" customHeight="1" x14ac:dyDescent="0.3">
      <c r="A7" s="25" t="s">
        <v>37</v>
      </c>
      <c r="B7" s="26" t="s">
        <v>38</v>
      </c>
    </row>
    <row r="8" spans="1:2" ht="31.95" customHeight="1" x14ac:dyDescent="0.3">
      <c r="A8" s="25" t="s">
        <v>39</v>
      </c>
      <c r="B8" s="26" t="s">
        <v>40</v>
      </c>
    </row>
    <row r="9" spans="1:2" ht="31.95" customHeight="1" x14ac:dyDescent="0.3">
      <c r="A9" s="25" t="s">
        <v>41</v>
      </c>
      <c r="B9" s="26" t="s">
        <v>42</v>
      </c>
    </row>
    <row r="10" spans="1:2" ht="31.95" customHeight="1" x14ac:dyDescent="0.3">
      <c r="A10" s="25" t="s">
        <v>43</v>
      </c>
      <c r="B10" s="26" t="s">
        <v>44</v>
      </c>
    </row>
    <row r="11" spans="1:2" ht="31.95" customHeight="1" x14ac:dyDescent="0.3">
      <c r="A11" s="25" t="s">
        <v>45</v>
      </c>
      <c r="B11" s="26" t="s">
        <v>46</v>
      </c>
    </row>
    <row r="12" spans="1:2" ht="31.95" customHeight="1" x14ac:dyDescent="0.3">
      <c r="A12" s="27" t="s">
        <v>47</v>
      </c>
      <c r="B12" s="28" t="s">
        <v>48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Leave Tracker</vt:lpstr>
      <vt:lpstr>Holiday List</vt:lpstr>
      <vt:lpstr>Dashboard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mandal</cp:lastModifiedBy>
  <dcterms:created xsi:type="dcterms:W3CDTF">2026-10-02T03:29:07Z</dcterms:created>
  <dcterms:modified xsi:type="dcterms:W3CDTF">2026-10-02T09:47:24Z</dcterms:modified>
</cp:coreProperties>
</file>